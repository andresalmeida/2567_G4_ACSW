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/>
  <mc:AlternateContent xmlns:mc="http://schemas.openxmlformats.org/markup-compatibility/2006">
    <mc:Choice Requires="x15">
      <x15ac:absPath xmlns:x15ac="http://schemas.microsoft.com/office/spreadsheetml/2010/11/ac" url="C:\Users\darwi\OneDrive\Documentos\Calidad\"/>
    </mc:Choice>
  </mc:AlternateContent>
  <xr:revisionPtr revIDLastSave="0" documentId="8_{E5E8D053-78D5-4481-B52E-E0BB172A0C4B}" xr6:coauthVersionLast="47" xr6:coauthVersionMax="47" xr10:uidLastSave="{00000000-0000-0000-0000-000000000000}"/>
  <bookViews>
    <workbookView xWindow="-23148" yWindow="-108" windowWidth="23256" windowHeight="12576" tabRatio="822" firstSheet="3" activeTab="8" xr2:uid="{00000000-000D-0000-FFFF-FFFF00000000}"/>
  </bookViews>
  <sheets>
    <sheet name="Tabla 6.2 Tiempos de desarrollo" sheetId="12" r:id="rId1"/>
    <sheet name="Tabla 6.3 Rasgos de tamaños" sheetId="11" r:id="rId2"/>
    <sheet name="Tabla 6.4-6.5 Estimación tamaño" sheetId="9" r:id="rId3"/>
    <sheet name="Diccionario de Actividades" sheetId="2" r:id="rId4"/>
    <sheet name="Tabla 6.6 CRT" sheetId="1" r:id="rId5"/>
    <sheet name="Tabla 6.7 C_Trabajo" sheetId="3" r:id="rId6"/>
    <sheet name="Cuaderno de Defectos" sheetId="4" r:id="rId7"/>
    <sheet name="Tabla 15.1 Cálculo Defectos" sheetId="10" r:id="rId8"/>
    <sheet name="Tabla 15.3 Resumen" sheetId="7" r:id="rId9"/>
  </sheets>
  <definedNames>
    <definedName name="_xlnm._FilterDatabase" localSheetId="6" hidden="1">'Cuaderno de Defectos'!$B$8:$F$9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2" i="10" l="1"/>
  <c r="F44" i="7"/>
  <c r="D44" i="7"/>
  <c r="J31" i="7"/>
  <c r="L30" i="7"/>
  <c r="L26" i="7"/>
  <c r="D17" i="7"/>
  <c r="D16" i="7"/>
  <c r="G15" i="7"/>
  <c r="D15" i="7"/>
  <c r="K15" i="7" s="1"/>
  <c r="K10" i="7"/>
  <c r="K9" i="7"/>
  <c r="G11" i="7"/>
  <c r="G10" i="7"/>
  <c r="G9" i="7"/>
  <c r="D9" i="7"/>
  <c r="D10" i="7"/>
  <c r="I30" i="9"/>
  <c r="G30" i="9"/>
  <c r="H30" i="9"/>
  <c r="I29" i="9"/>
  <c r="G29" i="9"/>
  <c r="H29" i="9"/>
  <c r="G26" i="9"/>
  <c r="I26" i="9"/>
  <c r="H26" i="9"/>
  <c r="B22" i="10"/>
  <c r="C26" i="10"/>
  <c r="G22" i="10"/>
  <c r="H26" i="10" s="1"/>
  <c r="C22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L3" i="4"/>
  <c r="E17" i="3"/>
  <c r="G17" i="3"/>
  <c r="N99" i="3"/>
  <c r="N97" i="3"/>
  <c r="N95" i="3"/>
  <c r="N93" i="3"/>
  <c r="N91" i="3"/>
  <c r="N89" i="3"/>
  <c r="N87" i="3"/>
  <c r="N85" i="3"/>
  <c r="N83" i="3"/>
  <c r="N81" i="3"/>
  <c r="N79" i="3"/>
  <c r="N77" i="3"/>
  <c r="N75" i="3"/>
  <c r="N43" i="3"/>
  <c r="N41" i="3"/>
  <c r="N39" i="3"/>
  <c r="N37" i="3"/>
  <c r="N35" i="3"/>
  <c r="N33" i="3"/>
  <c r="N31" i="3"/>
  <c r="N29" i="3"/>
  <c r="N27" i="3"/>
  <c r="N25" i="3"/>
  <c r="N23" i="3"/>
  <c r="N21" i="3"/>
  <c r="N19" i="3"/>
  <c r="N15" i="3"/>
  <c r="N13" i="3"/>
  <c r="N11" i="3"/>
  <c r="N9" i="3"/>
  <c r="N7" i="3"/>
  <c r="M99" i="3"/>
  <c r="M97" i="3"/>
  <c r="M95" i="3"/>
  <c r="M93" i="3"/>
  <c r="M91" i="3"/>
  <c r="M89" i="3"/>
  <c r="M87" i="3"/>
  <c r="M85" i="3"/>
  <c r="M83" i="3"/>
  <c r="M81" i="3"/>
  <c r="M79" i="3"/>
  <c r="M77" i="3"/>
  <c r="M75" i="3"/>
  <c r="M43" i="3"/>
  <c r="M41" i="3"/>
  <c r="M39" i="3"/>
  <c r="M37" i="3"/>
  <c r="M35" i="3"/>
  <c r="M33" i="3"/>
  <c r="M31" i="3"/>
  <c r="M29" i="3"/>
  <c r="M27" i="3"/>
  <c r="M25" i="3"/>
  <c r="M23" i="3"/>
  <c r="M21" i="3"/>
  <c r="M19" i="3"/>
  <c r="M15" i="3"/>
  <c r="M13" i="3"/>
  <c r="M11" i="3"/>
  <c r="M9" i="3"/>
  <c r="M7" i="3"/>
  <c r="J99" i="3"/>
  <c r="J97" i="3"/>
  <c r="J95" i="3"/>
  <c r="J93" i="3"/>
  <c r="J91" i="3"/>
  <c r="J89" i="3"/>
  <c r="J87" i="3"/>
  <c r="J85" i="3"/>
  <c r="J83" i="3"/>
  <c r="J81" i="3"/>
  <c r="J79" i="3"/>
  <c r="J77" i="3"/>
  <c r="J75" i="3"/>
  <c r="J43" i="3"/>
  <c r="J41" i="3"/>
  <c r="J39" i="3"/>
  <c r="J37" i="3"/>
  <c r="J35" i="3"/>
  <c r="J33" i="3"/>
  <c r="J31" i="3"/>
  <c r="J25" i="3"/>
  <c r="L15" i="3"/>
  <c r="K15" i="3"/>
  <c r="J15" i="3"/>
  <c r="E25" i="3"/>
  <c r="E91" i="3"/>
  <c r="E81" i="3"/>
  <c r="G81" i="3" s="1"/>
  <c r="E41" i="3"/>
  <c r="E33" i="3"/>
  <c r="E7" i="3"/>
  <c r="G99" i="3"/>
  <c r="G97" i="3"/>
  <c r="G95" i="3"/>
  <c r="G93" i="3"/>
  <c r="G89" i="3"/>
  <c r="G87" i="3"/>
  <c r="G85" i="3"/>
  <c r="G83" i="3"/>
  <c r="G79" i="3"/>
  <c r="G77" i="3"/>
  <c r="G75" i="3"/>
  <c r="G43" i="3"/>
  <c r="G39" i="3"/>
  <c r="G37" i="3"/>
  <c r="G35" i="3"/>
  <c r="G31" i="3"/>
  <c r="G29" i="3"/>
  <c r="G27" i="3"/>
  <c r="G23" i="3"/>
  <c r="G21" i="3"/>
  <c r="G19" i="3"/>
  <c r="G15" i="3"/>
  <c r="G13" i="3"/>
  <c r="G11" i="3"/>
  <c r="G9" i="3"/>
  <c r="C75" i="3"/>
  <c r="C77" i="3"/>
  <c r="C79" i="3"/>
  <c r="C89" i="3"/>
  <c r="C87" i="3"/>
  <c r="C85" i="3"/>
  <c r="C83" i="3"/>
  <c r="C81" i="3"/>
  <c r="C91" i="3"/>
  <c r="C93" i="3"/>
  <c r="C95" i="3"/>
  <c r="C97" i="3"/>
  <c r="C99" i="3"/>
  <c r="C31" i="3"/>
  <c r="C29" i="3"/>
  <c r="D91" i="3"/>
  <c r="D81" i="3"/>
  <c r="D41" i="3"/>
  <c r="D33" i="3"/>
  <c r="D25" i="3"/>
  <c r="C15" i="3"/>
  <c r="D17" i="3"/>
  <c r="D18" i="3"/>
  <c r="D16" i="3"/>
  <c r="D100" i="3"/>
  <c r="D98" i="3"/>
  <c r="D96" i="3"/>
  <c r="D94" i="3"/>
  <c r="D92" i="3"/>
  <c r="G91" i="3"/>
  <c r="D90" i="3"/>
  <c r="D88" i="3"/>
  <c r="D86" i="3"/>
  <c r="D84" i="3"/>
  <c r="D82" i="3"/>
  <c r="D80" i="3"/>
  <c r="D78" i="3"/>
  <c r="D76" i="3"/>
  <c r="D44" i="3"/>
  <c r="D42" i="3"/>
  <c r="D40" i="3"/>
  <c r="D38" i="3"/>
  <c r="D36" i="3"/>
  <c r="D34" i="3"/>
  <c r="D32" i="3"/>
  <c r="D30" i="3"/>
  <c r="D28" i="3"/>
  <c r="D26" i="3"/>
  <c r="D24" i="3"/>
  <c r="D22" i="3"/>
  <c r="D20" i="3"/>
  <c r="D8" i="3"/>
  <c r="D7" i="3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B26" i="9"/>
  <c r="C26" i="9"/>
  <c r="I23" i="9"/>
  <c r="I16" i="9"/>
  <c r="I11" i="9"/>
  <c r="G21" i="9"/>
  <c r="G18" i="9"/>
  <c r="G16" i="9"/>
  <c r="G10" i="9"/>
  <c r="H25" i="9"/>
  <c r="G25" i="9" s="1"/>
  <c r="H24" i="9"/>
  <c r="G24" i="9" s="1"/>
  <c r="H23" i="9"/>
  <c r="G23" i="9" s="1"/>
  <c r="H22" i="9"/>
  <c r="I22" i="9" s="1"/>
  <c r="H21" i="9"/>
  <c r="I21" i="9" s="1"/>
  <c r="H20" i="9"/>
  <c r="I20" i="9" s="1"/>
  <c r="H18" i="9"/>
  <c r="I18" i="9" s="1"/>
  <c r="H16" i="9"/>
  <c r="H15" i="9"/>
  <c r="G15" i="9" s="1"/>
  <c r="H13" i="9"/>
  <c r="G13" i="9" s="1"/>
  <c r="H11" i="9"/>
  <c r="G11" i="9" s="1"/>
  <c r="H10" i="9"/>
  <c r="I10" i="9" s="1"/>
  <c r="E20" i="9"/>
  <c r="E21" i="9"/>
  <c r="E22" i="9"/>
  <c r="E23" i="9"/>
  <c r="E24" i="9"/>
  <c r="E25" i="9"/>
  <c r="E18" i="9"/>
  <c r="E16" i="9"/>
  <c r="E15" i="9"/>
  <c r="E13" i="9"/>
  <c r="E11" i="9"/>
  <c r="E10" i="9"/>
  <c r="D26" i="9"/>
  <c r="C25" i="9"/>
  <c r="C24" i="9"/>
  <c r="C23" i="9"/>
  <c r="C22" i="9"/>
  <c r="C21" i="9"/>
  <c r="C20" i="9"/>
  <c r="C18" i="9"/>
  <c r="C16" i="9"/>
  <c r="C15" i="9"/>
  <c r="C13" i="9"/>
  <c r="C11" i="9"/>
  <c r="C10" i="9"/>
  <c r="B25" i="9"/>
  <c r="B24" i="9"/>
  <c r="B23" i="9"/>
  <c r="B22" i="9"/>
  <c r="B21" i="9"/>
  <c r="B20" i="9"/>
  <c r="B18" i="9"/>
  <c r="B16" i="9"/>
  <c r="B15" i="9"/>
  <c r="B13" i="9"/>
  <c r="B11" i="9"/>
  <c r="B10" i="9"/>
  <c r="E27" i="11"/>
  <c r="E26" i="11"/>
  <c r="E25" i="11"/>
  <c r="E24" i="11"/>
  <c r="E23" i="11"/>
  <c r="E22" i="11"/>
  <c r="E20" i="11"/>
  <c r="E18" i="11"/>
  <c r="E17" i="11"/>
  <c r="E15" i="11"/>
  <c r="E13" i="11"/>
  <c r="E12" i="11"/>
  <c r="E13" i="12"/>
  <c r="E12" i="12"/>
  <c r="D29" i="12"/>
  <c r="C29" i="12"/>
  <c r="C28" i="12"/>
  <c r="E29" i="12" s="1"/>
  <c r="D28" i="12"/>
  <c r="E27" i="12"/>
  <c r="E26" i="12"/>
  <c r="E25" i="12"/>
  <c r="E24" i="12"/>
  <c r="E23" i="12"/>
  <c r="E22" i="12"/>
  <c r="E20" i="12"/>
  <c r="E18" i="12"/>
  <c r="E17" i="12"/>
  <c r="E15" i="12"/>
  <c r="H22" i="10" l="1"/>
  <c r="B24" i="10"/>
  <c r="C28" i="10"/>
  <c r="G24" i="10"/>
  <c r="I24" i="9"/>
  <c r="C29" i="9" s="1"/>
  <c r="C30" i="9"/>
  <c r="G20" i="9"/>
  <c r="I15" i="9"/>
  <c r="I25" i="9"/>
  <c r="I13" i="9"/>
  <c r="G22" i="9"/>
  <c r="L31" i="7" l="1"/>
  <c r="L32" i="7"/>
  <c r="L33" i="7"/>
  <c r="L34" i="7"/>
  <c r="L35" i="7"/>
  <c r="L44" i="7"/>
  <c r="L39" i="7"/>
  <c r="L40" i="7"/>
  <c r="L41" i="7"/>
  <c r="L42" i="7"/>
  <c r="L43" i="7"/>
  <c r="L38" i="7"/>
  <c r="H39" i="7"/>
  <c r="H40" i="7"/>
  <c r="H41" i="7"/>
  <c r="H42" i="7"/>
  <c r="H43" i="7"/>
  <c r="H38" i="7"/>
  <c r="H44" i="7" l="1"/>
  <c r="J43" i="7" s="1"/>
  <c r="J38" i="7"/>
  <c r="H31" i="7"/>
  <c r="H32" i="7"/>
  <c r="H33" i="7"/>
  <c r="H34" i="7"/>
  <c r="H35" i="7"/>
  <c r="H30" i="7"/>
  <c r="I20" i="7"/>
  <c r="I21" i="7"/>
  <c r="I22" i="7"/>
  <c r="I23" i="7"/>
  <c r="I24" i="7"/>
  <c r="I25" i="7"/>
  <c r="I19" i="7"/>
  <c r="D11" i="7"/>
  <c r="K11" i="7" s="1"/>
  <c r="D26" i="7"/>
  <c r="I26" i="7" s="1"/>
  <c r="F26" i="7"/>
  <c r="D36" i="7"/>
  <c r="F36" i="7"/>
  <c r="D74" i="3"/>
  <c r="D72" i="3"/>
  <c r="D70" i="3"/>
  <c r="D68" i="3"/>
  <c r="D66" i="3"/>
  <c r="D64" i="3"/>
  <c r="D62" i="3"/>
  <c r="D60" i="3"/>
  <c r="D58" i="3"/>
  <c r="D56" i="3"/>
  <c r="D54" i="3"/>
  <c r="D52" i="3"/>
  <c r="D50" i="3"/>
  <c r="C49" i="3"/>
  <c r="D48" i="3"/>
  <c r="C47" i="3"/>
  <c r="D46" i="3"/>
  <c r="C45" i="3"/>
  <c r="C43" i="3"/>
  <c r="G41" i="3"/>
  <c r="C41" i="3"/>
  <c r="C39" i="3"/>
  <c r="C37" i="3"/>
  <c r="C35" i="3"/>
  <c r="G33" i="3"/>
  <c r="C33" i="3"/>
  <c r="C27" i="3"/>
  <c r="C25" i="3"/>
  <c r="C23" i="3"/>
  <c r="C21" i="3"/>
  <c r="H19" i="3"/>
  <c r="C19" i="3"/>
  <c r="H17" i="3"/>
  <c r="C17" i="3"/>
  <c r="D14" i="3"/>
  <c r="C13" i="3"/>
  <c r="D12" i="3"/>
  <c r="C11" i="3"/>
  <c r="D10" i="3"/>
  <c r="H9" i="3"/>
  <c r="C9" i="3"/>
  <c r="G7" i="3"/>
  <c r="C7" i="3"/>
  <c r="J40" i="7" l="1"/>
  <c r="J41" i="7"/>
  <c r="J39" i="7"/>
  <c r="J42" i="7"/>
  <c r="H36" i="7"/>
  <c r="L23" i="7"/>
  <c r="L25" i="7"/>
  <c r="L24" i="7"/>
  <c r="L20" i="7"/>
  <c r="L22" i="7"/>
  <c r="L21" i="7"/>
  <c r="L19" i="7"/>
  <c r="D27" i="7"/>
  <c r="D28" i="7"/>
  <c r="I17" i="3"/>
  <c r="J17" i="3"/>
  <c r="G25" i="3"/>
  <c r="J44" i="7" l="1"/>
  <c r="J32" i="7"/>
  <c r="J33" i="7"/>
  <c r="J35" i="7"/>
  <c r="J34" i="7"/>
  <c r="J30" i="7"/>
  <c r="K17" i="3"/>
  <c r="L17" i="3" s="1"/>
  <c r="M17" i="3"/>
  <c r="N17" i="3"/>
  <c r="I15" i="3"/>
  <c r="H15" i="3"/>
  <c r="J36" i="7" l="1"/>
</calcChain>
</file>

<file path=xl/sharedStrings.xml><?xml version="1.0" encoding="utf-8"?>
<sst xmlns="http://schemas.openxmlformats.org/spreadsheetml/2006/main" count="610" uniqueCount="267">
  <si>
    <t>Estudiante:</t>
  </si>
  <si>
    <r>
      <rPr>
        <b/>
        <sz val="10"/>
        <color theme="1"/>
        <rFont val="Book Antiqua"/>
        <family val="1"/>
      </rPr>
      <t xml:space="preserve">Fecha: </t>
    </r>
    <r>
      <rPr>
        <sz val="10"/>
        <color theme="1"/>
        <rFont val="Book Antiqua"/>
        <family val="1"/>
      </rPr>
      <t>05-02-2025</t>
    </r>
  </si>
  <si>
    <t>Profesor:</t>
  </si>
  <si>
    <t>Ing. Jenny Ruíz</t>
  </si>
  <si>
    <r>
      <rPr>
        <b/>
        <sz val="10"/>
        <color theme="1"/>
        <rFont val="Book Antiqua"/>
        <family val="1"/>
      </rPr>
      <t xml:space="preserve">Class: </t>
    </r>
    <r>
      <rPr>
        <sz val="10"/>
        <color theme="1"/>
        <rFont val="Book Antiqua"/>
        <family val="1"/>
      </rPr>
      <t>2567</t>
    </r>
  </si>
  <si>
    <t>Fecha</t>
  </si>
  <si>
    <t>Comienzo</t>
  </si>
  <si>
    <t>Fin</t>
  </si>
  <si>
    <t>T.Interrup.</t>
  </si>
  <si>
    <t>Inc. Tiempo</t>
  </si>
  <si>
    <t>Actividad</t>
  </si>
  <si>
    <t>Comentarios</t>
  </si>
  <si>
    <t>C</t>
  </si>
  <si>
    <t>U</t>
  </si>
  <si>
    <t>0.10</t>
  </si>
  <si>
    <t>Tarea 1</t>
  </si>
  <si>
    <t>Tarea 2</t>
  </si>
  <si>
    <t>Tarea 3</t>
  </si>
  <si>
    <t>Tarea 4</t>
  </si>
  <si>
    <t>Tarea 5</t>
  </si>
  <si>
    <t>Tarea 6</t>
  </si>
  <si>
    <t>Tarea 7</t>
  </si>
  <si>
    <t>Tarea 8</t>
  </si>
  <si>
    <t>Tarea 9</t>
  </si>
  <si>
    <t>Tarea 10</t>
  </si>
  <si>
    <t>Tarea 11</t>
  </si>
  <si>
    <t>Tarea 12</t>
  </si>
  <si>
    <t>Tarea 13</t>
  </si>
  <si>
    <t>Tarea 14</t>
  </si>
  <si>
    <t>Diccionario de Actividades</t>
  </si>
  <si>
    <t>Identificador</t>
  </si>
  <si>
    <t>Descripcion</t>
  </si>
  <si>
    <t>Nombre:</t>
  </si>
  <si>
    <t>Fecha:</t>
  </si>
  <si>
    <t>Trabajo</t>
  </si>
  <si>
    <t>Proceso</t>
  </si>
  <si>
    <t>Estimado</t>
  </si>
  <si>
    <t>Real</t>
  </si>
  <si>
    <t>Hasta la fecha</t>
  </si>
  <si>
    <t>Tiempo</t>
  </si>
  <si>
    <t>Unidades</t>
  </si>
  <si>
    <t>Velocidad</t>
  </si>
  <si>
    <t>MAX</t>
  </si>
  <si>
    <t>MIN</t>
  </si>
  <si>
    <t>Descripción</t>
  </si>
  <si>
    <t>Codificación</t>
  </si>
  <si>
    <t>Codificacion</t>
  </si>
  <si>
    <t>Diseño</t>
  </si>
  <si>
    <t>Tipos de defectos</t>
  </si>
  <si>
    <t>Documentación</t>
  </si>
  <si>
    <t>Interfaz</t>
  </si>
  <si>
    <t>Sistema</t>
  </si>
  <si>
    <t>TOTAL EN MINUTOS:</t>
  </si>
  <si>
    <t>Sintaxis</t>
  </si>
  <si>
    <t>Comprobación</t>
  </si>
  <si>
    <t>Entorno</t>
  </si>
  <si>
    <t>Construcción Paquetes</t>
  </si>
  <si>
    <t>Datos</t>
  </si>
  <si>
    <t>Asignación</t>
  </si>
  <si>
    <t>Función</t>
  </si>
  <si>
    <t>Integrantes</t>
  </si>
  <si>
    <t>Profesor</t>
  </si>
  <si>
    <t>Ing. Jenny Ruiz</t>
  </si>
  <si>
    <t>Programa</t>
  </si>
  <si>
    <t>Nº</t>
  </si>
  <si>
    <t>Tipo</t>
  </si>
  <si>
    <t>Introducido</t>
  </si>
  <si>
    <t>Eliminado</t>
  </si>
  <si>
    <t>T. Corrección (minutos)</t>
  </si>
  <si>
    <t>Defecto Corregido</t>
  </si>
  <si>
    <t>SI</t>
  </si>
  <si>
    <t>Descripción:</t>
  </si>
  <si>
    <t>T. Corrección</t>
  </si>
  <si>
    <t xml:space="preserve">Codificacion </t>
  </si>
  <si>
    <t>Pruebas</t>
  </si>
  <si>
    <t xml:space="preserve">Total </t>
  </si>
  <si>
    <t>Compilación</t>
  </si>
  <si>
    <t>Revisión del código</t>
  </si>
  <si>
    <t>Planificación</t>
  </si>
  <si>
    <t>Def./Hora</t>
  </si>
  <si>
    <t>%Hasta la Fecha</t>
  </si>
  <si>
    <t>Hasta la Fecha</t>
  </si>
  <si>
    <t>Plan</t>
  </si>
  <si>
    <t>Defectos eliminados</t>
  </si>
  <si>
    <t>Total</t>
  </si>
  <si>
    <t>Defectos introducidos</t>
  </si>
  <si>
    <t>Tiempo Mínimo</t>
  </si>
  <si>
    <t>Tiempo Máximo</t>
  </si>
  <si>
    <t>Postmorten</t>
  </si>
  <si>
    <t>Tiempo por Fase (.min)</t>
  </si>
  <si>
    <t>Tamaño Mínimo</t>
  </si>
  <si>
    <t>Tamaño Máximo</t>
  </si>
  <si>
    <t>Total Nuevo &amp; Cambiado</t>
  </si>
  <si>
    <t>Tamaño Programa (LOC)</t>
  </si>
  <si>
    <t>V/F</t>
  </si>
  <si>
    <t>Rendimiento</t>
  </si>
  <si>
    <t>Defectos/KLOC</t>
  </si>
  <si>
    <t>LOC/Hora</t>
  </si>
  <si>
    <t>Minutos/LOC</t>
  </si>
  <si>
    <t>Resumen</t>
  </si>
  <si>
    <t>Lenguaje</t>
  </si>
  <si>
    <t xml:space="preserve"> Ing. Jenny Ruiz</t>
  </si>
  <si>
    <t>Programa #</t>
  </si>
  <si>
    <t>Programa:</t>
  </si>
  <si>
    <t>Martes 11 de febrero del 2025</t>
  </si>
  <si>
    <t xml:space="preserve">Fecha: </t>
  </si>
  <si>
    <t xml:space="preserve">Estudiantes: </t>
  </si>
  <si>
    <t>Tabla 15.3 Resumen del plan del proyecto del PSP</t>
  </si>
  <si>
    <t>https://github.com/Santiago-Sanay/cucumber/blob/main/app/src/main/java/com/alex/ultim2/utils/FcmService.java</t>
  </si>
  <si>
    <t>Tiempo de Desarrollo</t>
  </si>
  <si>
    <t>LOC</t>
  </si>
  <si>
    <t>Funciones Anteriores</t>
  </si>
  <si>
    <t>Funciones Estimadas</t>
  </si>
  <si>
    <t>Mín.</t>
  </si>
  <si>
    <t>Media</t>
  </si>
  <si>
    <t>Máx.</t>
  </si>
  <si>
    <t xml:space="preserve">Estimado </t>
  </si>
  <si>
    <t>Tabla 15,1 Estimación de Defectos</t>
  </si>
  <si>
    <t xml:space="preserve">Numero de programas </t>
  </si>
  <si>
    <t>Defectos (D)</t>
  </si>
  <si>
    <t>LOC(N)</t>
  </si>
  <si>
    <t xml:space="preserve">Total hasta la fecha </t>
  </si>
  <si>
    <t>Dd plan (N)</t>
  </si>
  <si>
    <t>defectos/KLOC</t>
  </si>
  <si>
    <t>Dd plan            =</t>
  </si>
  <si>
    <t>Defectos Estimados Ddplan</t>
  </si>
  <si>
    <t>Defectos Estimados Ddplan (N)</t>
  </si>
  <si>
    <t xml:space="preserve">Coclusiones </t>
  </si>
  <si>
    <t>Tabla 6,2 Tiempos de desarrollo de programas</t>
  </si>
  <si>
    <t>Almeida Andrés, Moncayo Paola, Valdiviezo Darwin</t>
  </si>
  <si>
    <t>Cuentas de Gastos de Protección Ambiental</t>
  </si>
  <si>
    <t>Python</t>
  </si>
  <si>
    <t>GitHub: https://github.com/andresalmeida/Despliegue_Modelo.git</t>
  </si>
  <si>
    <t>static</t>
  </si>
  <si>
    <t>templates</t>
  </si>
  <si>
    <t>root</t>
  </si>
  <si>
    <t>Totales</t>
  </si>
  <si>
    <t>Medias</t>
  </si>
  <si>
    <t>features</t>
  </si>
  <si>
    <t>steps</t>
  </si>
  <si>
    <t>Nombre</t>
  </si>
  <si>
    <t>script.js</t>
  </si>
  <si>
    <t>styles.css</t>
  </si>
  <si>
    <t>index.html</t>
  </si>
  <si>
    <t>enviroment.py</t>
  </si>
  <si>
    <t>test_upload.features</t>
  </si>
  <si>
    <t>test_steps.py</t>
  </si>
  <si>
    <t>app.py</t>
  </si>
  <si>
    <t>jira_reporter.py</t>
  </si>
  <si>
    <t>requirements.txt</t>
  </si>
  <si>
    <t>test.py</t>
  </si>
  <si>
    <t>README.md</t>
  </si>
  <si>
    <t>.env</t>
  </si>
  <si>
    <t>Fórmulas usadas</t>
  </si>
  <si>
    <t>Funciones</t>
  </si>
  <si>
    <t>Estilos para el sistema, formularios, botones</t>
  </si>
  <si>
    <t>Página principal del sistema</t>
  </si>
  <si>
    <t>Configuración global del entorno del sistema</t>
  </si>
  <si>
    <t>Archivo de definición de pruebas en Cucumber</t>
  </si>
  <si>
    <t>Implementación de los pasos Given, When, Then</t>
  </si>
  <si>
    <t>Código principal de la aplicación FastAPI</t>
  </si>
  <si>
    <t>Código para integración con Jira</t>
  </si>
  <si>
    <t>Librerías necesarias de Python</t>
  </si>
  <si>
    <t>Script de ejecución de pruebas</t>
  </si>
  <si>
    <t>Variables de entorno (API Jira, DB, etc.)</t>
  </si>
  <si>
    <t>Manual de ejecución del sistema</t>
  </si>
  <si>
    <t>Animaciones y funcinalidad de archivos</t>
  </si>
  <si>
    <t>EL TAMAÑO DEL PRODUCTO DE CUENTAS DE GASTOS DE PROTECCIÓN AMBIENTAL</t>
  </si>
  <si>
    <t>Tabla 6.4 Formulario para estimar el tamaño del programa</t>
  </si>
  <si>
    <t>STATIC</t>
  </si>
  <si>
    <t>TEMPLATES</t>
  </si>
  <si>
    <t>FEATURES</t>
  </si>
  <si>
    <t>STEPS</t>
  </si>
  <si>
    <t>MAIN</t>
  </si>
  <si>
    <t>Mostrar animaciones y funcionalidad</t>
  </si>
  <si>
    <t>Mostrar estilos</t>
  </si>
  <si>
    <t>Mostrar sistema desde página principal</t>
  </si>
  <si>
    <t>Mostrar botones, enlaces y funcionalidades</t>
  </si>
  <si>
    <t>Pruebas cucumber</t>
  </si>
  <si>
    <t>Funciones de pruebas cucumber</t>
  </si>
  <si>
    <t>Mostrar las funcionalidades de la aplicación</t>
  </si>
  <si>
    <t>Pruebas integradas a jira con Cucumber</t>
  </si>
  <si>
    <t>Librerias para el funcionamiento del sistema</t>
  </si>
  <si>
    <t>Código para la ejecución de pruebas</t>
  </si>
  <si>
    <t>Mostrar como usar el sistema</t>
  </si>
  <si>
    <t>Datos privados</t>
  </si>
  <si>
    <t>Tiempo real</t>
  </si>
  <si>
    <t>Tiempo planeado</t>
  </si>
  <si>
    <t>Almeida, Moncayo, Valdiviezo</t>
  </si>
  <si>
    <t>Requisito 1.1</t>
  </si>
  <si>
    <t>Implementar la interfaz de carga de archivos.</t>
  </si>
  <si>
    <t>Requisito 1.2</t>
  </si>
  <si>
    <t>Procesar el contenido del archivo Excel.</t>
  </si>
  <si>
    <t>Requisito 2.1</t>
  </si>
  <si>
    <t>Validar rutas autorizadas.</t>
  </si>
  <si>
    <t>Requisito 2.2</t>
  </si>
  <si>
    <t>Implementar notificaciones de rutas inválidas.</t>
  </si>
  <si>
    <t>Requisito 3.1</t>
  </si>
  <si>
    <t>Generar gráficos básicos.</t>
  </si>
  <si>
    <t>Requisito 4.1</t>
  </si>
  <si>
    <t>Exportar datos procesados a Excel.</t>
  </si>
  <si>
    <t>Requisito 5.1</t>
  </si>
  <si>
    <t>Mostrar notificaciones de error específicas para mejorar la experiencia del usuario.</t>
  </si>
  <si>
    <t>Crear espacio para el ingreso de archivos.</t>
  </si>
  <si>
    <t>Implementar un botón de carga de archivo.</t>
  </si>
  <si>
    <t>Añadir validación para tipos de archivos permitidos.</t>
  </si>
  <si>
    <t>Mostrar mensajes de confirmación al cargar archivos.</t>
  </si>
  <si>
    <t>Leer y parsear el contenido del archivo.</t>
  </si>
  <si>
    <t>Validar la estructura del archivo.</t>
  </si>
  <si>
    <t>Manejar errores en el formato del archivo.</t>
  </si>
  <si>
    <t>Guardar datos procesados en memoria o base de datos.</t>
  </si>
  <si>
    <t>Crear lista de rutas permitidas.</t>
  </si>
  <si>
    <t>Implementar lógica de validación de rutas.</t>
  </si>
  <si>
    <t>Manejar errores cuando una ruta no sea válida.</t>
  </si>
  <si>
    <t>Detectar rutas no autorizadas.</t>
  </si>
  <si>
    <t>Mostrar alertas en la interfaz cuando se detecten rutas no válidas.</t>
  </si>
  <si>
    <t>Registrar intentos de acceso a rutas no autorizadas.</t>
  </si>
  <si>
    <t>Definir los tipos de gráficos a generar.</t>
  </si>
  <si>
    <t>Implementar librería de visualización de datos.</t>
  </si>
  <si>
    <t>Generar gráficos basados en datos procesados.</t>
  </si>
  <si>
    <t>Mostrar gráficos en la interfaz de usuario.</t>
  </si>
  <si>
    <t>Crear función para exportar datos a formato Excel.</t>
  </si>
  <si>
    <t>Validar que los datos sean exportados correctamente.</t>
  </si>
  <si>
    <t>Añadir opción de descarga en la interfaz.</t>
  </si>
  <si>
    <t>Mostrar confirmación de exportación exitosa.</t>
  </si>
  <si>
    <t>Definir los tipos de errores comunes en la aplicación.</t>
  </si>
  <si>
    <t>Implementar sistema de notificaciones en la interfaz.</t>
  </si>
  <si>
    <t>Asociar cada error a un mensaje descriptivo.</t>
  </si>
  <si>
    <t>Probar y ajustar notificaciones según la experiencia del usuario.</t>
  </si>
  <si>
    <t>Tarea 15</t>
  </si>
  <si>
    <t>Tarea 16</t>
  </si>
  <si>
    <t>Tarea 17</t>
  </si>
  <si>
    <t>Tarea 18</t>
  </si>
  <si>
    <t>Tarea 19</t>
  </si>
  <si>
    <t>Tarea 20</t>
  </si>
  <si>
    <t>Tarea 21</t>
  </si>
  <si>
    <t>Tarea 22</t>
  </si>
  <si>
    <t>Tarea 23</t>
  </si>
  <si>
    <t>Tarea 24</t>
  </si>
  <si>
    <t>Tarea 25</t>
  </si>
  <si>
    <t>Tarea 26</t>
  </si>
  <si>
    <t>Columna</t>
  </si>
  <si>
    <t>C (Requisito al que pertenece la tarea)</t>
  </si>
  <si>
    <t>U (Categoría o tipo de actividad)</t>
  </si>
  <si>
    <r>
      <t xml:space="preserve">Representa el número del </t>
    </r>
    <r>
      <rPr>
        <b/>
        <sz val="12"/>
        <color rgb="FF000000"/>
        <rFont val="Times New Roman"/>
        <family val="1"/>
      </rPr>
      <t>requisito principal</t>
    </r>
    <r>
      <rPr>
        <sz val="12"/>
        <color rgb="FF000000"/>
        <rFont val="Times New Roman"/>
        <family val="1"/>
      </rPr>
      <t xml:space="preserve"> al que pertenece cada tarea.</t>
    </r>
  </si>
  <si>
    <t>Agrupa tareas con funciones similares bajo una misma categoría.</t>
  </si>
  <si>
    <t>Almeida Andrés, Moncayo Poala, Valdiviezo Darwin</t>
  </si>
  <si>
    <t>El campo para el ingreso de archivos Excel, no permite la carga de archivos, por arrastre ni por local</t>
  </si>
  <si>
    <t>Los archivos ingresados como pdf se podían subir sin mostrar mensajes de error</t>
  </si>
  <si>
    <t>La estructura del archivo no estaba definida</t>
  </si>
  <si>
    <t>El formato del archivo no fue especificado</t>
  </si>
  <si>
    <t>La ruta a la que ingresamos no accedía correctamente</t>
  </si>
  <si>
    <t>El usuario podía ingresar a la ruta de análisis sin subir archivo</t>
  </si>
  <si>
    <t>Los gráficos generados no se guardaban</t>
  </si>
  <si>
    <t>Los gráficos generados no se realizaban correctamente</t>
  </si>
  <si>
    <t>Los datos generados no podían exportarse</t>
  </si>
  <si>
    <t>El botón de descarga del nuevo archivo no funcionaba</t>
  </si>
  <si>
    <t>Los logs de errores no se visualizaban</t>
  </si>
  <si>
    <t>Cálculo de defectos de Cuentas de Gastos de Protección Ambiental</t>
  </si>
  <si>
    <t>Los defectos totales se redujeron de 38 a 14, lo que indica una mejora significativa pero no optima en la calidad del código.</t>
  </si>
  <si>
    <t>El número total de LOC aumentó de 695 a 787, mostrando el crecimiento que tuvo el código, con los cambios y correcciones de defectos.</t>
  </si>
  <si>
    <t>Comparación de defectos</t>
  </si>
  <si>
    <t>Para 787 LOC, los defectos estimados serían 14.</t>
  </si>
  <si>
    <t>De min a horas</t>
  </si>
  <si>
    <t>Cuenta de Gastos de Protección Ambiental</t>
  </si>
  <si>
    <t>Mejor calidad del código: La densidad de defectos disminuyó de 54,68 defectos/KLOC a 17,79 defectos/KLOC, mostrando un código más limpio y estable.</t>
  </si>
  <si>
    <t>Los archivos de estilos, pruebas, y funcionalidad ocupan casi el 50% de los defectos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</si>
</sst>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9" formatCode="0.0000"/>
  </numFmts>
  <fonts count="44">
    <font>
      <sz val="10"/>
      <color rgb="FF000000"/>
      <name val="Arial"/>
      <scheme val="minor"/>
    </font>
    <font>
      <sz val="10"/>
      <color theme="1"/>
      <name val="Book Antiqua"/>
      <family val="1"/>
    </font>
    <font>
      <b/>
      <sz val="10"/>
      <color theme="1"/>
      <name val="Book Antiqua"/>
      <family val="1"/>
    </font>
    <font>
      <sz val="10"/>
      <name val="Arial"/>
      <family val="2"/>
    </font>
    <font>
      <sz val="7"/>
      <color theme="1"/>
      <name val="Book Antiqua"/>
      <family val="1"/>
    </font>
    <font>
      <sz val="8"/>
      <color theme="1"/>
      <name val="Book Antiqua"/>
      <family val="1"/>
    </font>
    <font>
      <b/>
      <sz val="8"/>
      <color theme="1"/>
      <name val="Book Antiqua"/>
      <family val="1"/>
    </font>
    <font>
      <sz val="10"/>
      <color theme="1"/>
      <name val="Arial"/>
      <family val="2"/>
    </font>
    <font>
      <sz val="10"/>
      <color theme="1"/>
      <name val="&quot;Book Antiqua&quot;"/>
    </font>
    <font>
      <b/>
      <sz val="10"/>
      <color theme="1"/>
      <name val="&quot;Book Antiqua&quot;"/>
    </font>
    <font>
      <b/>
      <sz val="10"/>
      <color rgb="FFFFFFFF"/>
      <name val="&quot;Book Antiqua&quot;"/>
    </font>
    <font>
      <sz val="10"/>
      <color rgb="FFFFFFFF"/>
      <name val="&quot;Book Antiqua&quot;"/>
    </font>
    <font>
      <sz val="8"/>
      <color rgb="FFFFFFFF"/>
      <name val="&quot;Book Antiqua&quot;"/>
    </font>
    <font>
      <b/>
      <sz val="11"/>
      <color theme="1"/>
      <name val="&quot;Book Antiqua&quot;"/>
    </font>
    <font>
      <i/>
      <sz val="8"/>
      <color theme="1"/>
      <name val="&quot;Book Antiqua&quot;"/>
    </font>
    <font>
      <b/>
      <i/>
      <sz val="8"/>
      <color theme="1"/>
      <name val="&quot;Book Antiqua&quot;"/>
    </font>
    <font>
      <sz val="8"/>
      <color theme="1"/>
      <name val="&quot;Book Antiqua&quot;"/>
    </font>
    <font>
      <b/>
      <sz val="10"/>
      <color theme="1"/>
      <name val="Arial"/>
      <family val="2"/>
      <scheme val="minor"/>
    </font>
    <font>
      <b/>
      <sz val="8"/>
      <color theme="1"/>
      <name val="&quot;Book Antiqua&quot;"/>
    </font>
    <font>
      <sz val="10"/>
      <color theme="1"/>
      <name val="Arial"/>
      <family val="2"/>
      <scheme val="minor"/>
    </font>
    <font>
      <b/>
      <sz val="12"/>
      <color theme="1"/>
      <name val="&quot;Book Antiqua&quot;"/>
    </font>
    <font>
      <sz val="11"/>
      <color theme="1"/>
      <name val="&quot;Book Antiqua&quot;"/>
    </font>
    <font>
      <b/>
      <i/>
      <sz val="10"/>
      <color theme="1"/>
      <name val="&quot;Book Antiqua&quot;"/>
    </font>
    <font>
      <b/>
      <sz val="11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4"/>
      <color theme="1"/>
      <name val="Times New Roman"/>
    </font>
    <font>
      <sz val="14"/>
      <color theme="1"/>
      <name val="Times New Roman"/>
    </font>
    <font>
      <sz val="12"/>
      <name val="Aptos Narrow"/>
    </font>
    <font>
      <sz val="14"/>
      <color theme="1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  <font>
      <sz val="12"/>
      <color rgb="FF404040"/>
      <name val="&quot;Calibri Light&quot;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rgb="FF40404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20"/>
      <color rgb="FF404040"/>
      <name val="Times New Roman"/>
      <family val="1"/>
    </font>
    <font>
      <sz val="20"/>
      <color rgb="FF000000"/>
      <name val="Times New Roman"/>
      <family val="1"/>
    </font>
    <font>
      <sz val="8"/>
      <name val="Arial"/>
      <family val="2"/>
      <scheme val="minor"/>
    </font>
    <font>
      <sz val="10"/>
      <color theme="0"/>
      <name val="&quot;Book Antiqua&quot;"/>
    </font>
    <font>
      <sz val="10"/>
      <color theme="0"/>
      <name val="Arial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C99FF"/>
        <bgColor rgb="FFCC99FF"/>
      </patternFill>
    </fill>
    <fill>
      <patternFill patternType="solid">
        <fgColor rgb="FFC9DAF8"/>
        <bgColor rgb="FFC9DAF8"/>
      </patternFill>
    </fill>
    <fill>
      <patternFill patternType="solid">
        <fgColor rgb="FF9FC5E8"/>
        <bgColor rgb="FF9FC5E8"/>
      </patternFill>
    </fill>
    <fill>
      <patternFill patternType="solid">
        <fgColor rgb="FF969696"/>
        <bgColor rgb="FF969696"/>
      </patternFill>
    </fill>
    <fill>
      <patternFill patternType="solid">
        <fgColor rgb="FFC0C0C0"/>
        <bgColor rgb="FFC0C0C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AD3"/>
        <bgColor rgb="FFD9EAD3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rgb="FFF4CCCC"/>
        <bgColor rgb="FFF4CCCC"/>
      </patternFill>
    </fill>
    <fill>
      <patternFill patternType="solid">
        <fgColor theme="8" tint="0.79998168889431442"/>
        <bgColor rgb="FFFCE5CD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rgb="FFFCE5CD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5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302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/>
    <xf numFmtId="0" fontId="2" fillId="2" borderId="3" xfId="0" applyFont="1" applyFill="1" applyBorder="1"/>
    <xf numFmtId="0" fontId="1" fillId="2" borderId="7" xfId="0" applyFont="1" applyFill="1" applyBorder="1"/>
    <xf numFmtId="0" fontId="2" fillId="2" borderId="7" xfId="0" applyFont="1" applyFill="1" applyBorder="1" applyAlignment="1">
      <alignment wrapText="1"/>
    </xf>
    <xf numFmtId="0" fontId="2" fillId="2" borderId="9" xfId="0" applyFont="1" applyFill="1" applyBorder="1"/>
    <xf numFmtId="0" fontId="1" fillId="2" borderId="13" xfId="0" applyFont="1" applyFill="1" applyBorder="1"/>
    <xf numFmtId="0" fontId="2" fillId="2" borderId="13" xfId="0" applyFont="1" applyFill="1" applyBorder="1" applyAlignment="1">
      <alignment wrapText="1"/>
    </xf>
    <xf numFmtId="0" fontId="6" fillId="2" borderId="1" xfId="0" applyFont="1" applyFill="1" applyBorder="1" applyAlignment="1">
      <alignment horizontal="center"/>
    </xf>
    <xf numFmtId="0" fontId="1" fillId="2" borderId="18" xfId="0" applyFont="1" applyFill="1" applyBorder="1"/>
    <xf numFmtId="0" fontId="1" fillId="2" borderId="20" xfId="0" applyFont="1" applyFill="1" applyBorder="1"/>
    <xf numFmtId="14" fontId="5" fillId="2" borderId="19" xfId="0" applyNumberFormat="1" applyFont="1" applyFill="1" applyBorder="1" applyAlignment="1">
      <alignment horizontal="center"/>
    </xf>
    <xf numFmtId="20" fontId="5" fillId="2" borderId="19" xfId="0" applyNumberFormat="1" applyFont="1" applyFill="1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5" fillId="2" borderId="19" xfId="0" applyFont="1" applyFill="1" applyBorder="1" applyAlignment="1">
      <alignment horizontal="center" wrapText="1"/>
    </xf>
    <xf numFmtId="0" fontId="6" fillId="2" borderId="19" xfId="0" applyFont="1" applyFill="1" applyBorder="1" applyAlignment="1">
      <alignment horizontal="center"/>
    </xf>
    <xf numFmtId="0" fontId="1" fillId="2" borderId="19" xfId="0" applyFont="1" applyFill="1" applyBorder="1"/>
    <xf numFmtId="0" fontId="1" fillId="2" borderId="19" xfId="0" applyFont="1" applyFill="1" applyBorder="1" applyAlignment="1">
      <alignment wrapText="1"/>
    </xf>
    <xf numFmtId="0" fontId="1" fillId="2" borderId="21" xfId="0" applyFont="1" applyFill="1" applyBorder="1"/>
    <xf numFmtId="0" fontId="1" fillId="2" borderId="21" xfId="0" applyFont="1" applyFill="1" applyBorder="1" applyAlignment="1">
      <alignment wrapText="1"/>
    </xf>
    <xf numFmtId="0" fontId="5" fillId="0" borderId="0" xfId="0" applyFont="1"/>
    <xf numFmtId="0" fontId="7" fillId="0" borderId="0" xfId="0" applyFont="1" applyAlignment="1">
      <alignment horizontal="center" vertic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0" fillId="6" borderId="22" xfId="0" applyFont="1" applyFill="1" applyBorder="1"/>
    <xf numFmtId="0" fontId="11" fillId="6" borderId="23" xfId="0" applyFont="1" applyFill="1" applyBorder="1"/>
    <xf numFmtId="0" fontId="10" fillId="6" borderId="23" xfId="0" applyFont="1" applyFill="1" applyBorder="1" applyAlignment="1">
      <alignment horizontal="center"/>
    </xf>
    <xf numFmtId="0" fontId="11" fillId="6" borderId="23" xfId="0" applyFont="1" applyFill="1" applyBorder="1" applyAlignment="1">
      <alignment horizontal="center"/>
    </xf>
    <xf numFmtId="164" fontId="12" fillId="6" borderId="23" xfId="0" applyNumberFormat="1" applyFont="1" applyFill="1" applyBorder="1" applyAlignment="1">
      <alignment horizontal="center"/>
    </xf>
    <xf numFmtId="0" fontId="11" fillId="6" borderId="24" xfId="0" applyFont="1" applyFill="1" applyBorder="1" applyAlignment="1">
      <alignment horizontal="center"/>
    </xf>
    <xf numFmtId="0" fontId="13" fillId="7" borderId="25" xfId="0" applyFont="1" applyFill="1" applyBorder="1"/>
    <xf numFmtId="0" fontId="13" fillId="7" borderId="26" xfId="0" applyFont="1" applyFill="1" applyBorder="1"/>
    <xf numFmtId="0" fontId="14" fillId="0" borderId="0" xfId="0" applyFont="1"/>
    <xf numFmtId="0" fontId="14" fillId="7" borderId="28" xfId="0" applyFont="1" applyFill="1" applyBorder="1"/>
    <xf numFmtId="0" fontId="14" fillId="7" borderId="29" xfId="0" applyFont="1" applyFill="1" applyBorder="1"/>
    <xf numFmtId="0" fontId="14" fillId="7" borderId="30" xfId="0" applyFont="1" applyFill="1" applyBorder="1"/>
    <xf numFmtId="0" fontId="15" fillId="7" borderId="30" xfId="0" applyFont="1" applyFill="1" applyBorder="1" applyAlignment="1">
      <alignment horizontal="center"/>
    </xf>
    <xf numFmtId="0" fontId="14" fillId="7" borderId="30" xfId="0" applyFont="1" applyFill="1" applyBorder="1" applyAlignment="1">
      <alignment horizontal="center"/>
    </xf>
    <xf numFmtId="0" fontId="14" fillId="7" borderId="29" xfId="0" applyFont="1" applyFill="1" applyBorder="1" applyAlignment="1">
      <alignment horizontal="center"/>
    </xf>
    <xf numFmtId="164" fontId="16" fillId="2" borderId="29" xfId="0" applyNumberFormat="1" applyFont="1" applyFill="1" applyBorder="1" applyAlignment="1">
      <alignment horizontal="center"/>
    </xf>
    <xf numFmtId="0" fontId="8" fillId="0" borderId="29" xfId="0" applyFont="1" applyBorder="1"/>
    <xf numFmtId="20" fontId="8" fillId="0" borderId="29" xfId="0" applyNumberFormat="1" applyFont="1" applyBorder="1"/>
    <xf numFmtId="20" fontId="17" fillId="0" borderId="0" xfId="0" applyNumberFormat="1" applyFont="1" applyAlignment="1">
      <alignment horizontal="center"/>
    </xf>
    <xf numFmtId="20" fontId="8" fillId="0" borderId="32" xfId="0" applyNumberFormat="1" applyFont="1" applyBorder="1" applyAlignment="1">
      <alignment horizontal="center"/>
    </xf>
    <xf numFmtId="20" fontId="8" fillId="0" borderId="30" xfId="0" applyNumberFormat="1" applyFont="1" applyBorder="1" applyAlignment="1">
      <alignment horizontal="center"/>
    </xf>
    <xf numFmtId="20" fontId="8" fillId="0" borderId="29" xfId="0" applyNumberFormat="1" applyFont="1" applyBorder="1" applyAlignment="1">
      <alignment horizontal="center"/>
    </xf>
    <xf numFmtId="0" fontId="18" fillId="0" borderId="29" xfId="0" applyFont="1" applyBorder="1"/>
    <xf numFmtId="20" fontId="8" fillId="0" borderId="30" xfId="0" applyNumberFormat="1" applyFont="1" applyBorder="1"/>
    <xf numFmtId="20" fontId="9" fillId="0" borderId="30" xfId="0" applyNumberFormat="1" applyFont="1" applyBorder="1" applyAlignment="1">
      <alignment horizontal="center"/>
    </xf>
    <xf numFmtId="0" fontId="8" fillId="0" borderId="33" xfId="0" applyFont="1" applyBorder="1"/>
    <xf numFmtId="0" fontId="8" fillId="0" borderId="30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20" fontId="9" fillId="0" borderId="19" xfId="0" applyNumberFormat="1" applyFont="1" applyBorder="1" applyAlignment="1">
      <alignment horizontal="center"/>
    </xf>
    <xf numFmtId="20" fontId="19" fillId="0" borderId="19" xfId="0" applyNumberFormat="1" applyFont="1" applyBorder="1" applyAlignment="1">
      <alignment horizontal="center"/>
    </xf>
    <xf numFmtId="20" fontId="19" fillId="0" borderId="0" xfId="0" applyNumberFormat="1" applyFont="1" applyAlignment="1">
      <alignment horizontal="center"/>
    </xf>
    <xf numFmtId="0" fontId="8" fillId="0" borderId="30" xfId="0" applyFont="1" applyBorder="1"/>
    <xf numFmtId="0" fontId="9" fillId="0" borderId="30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17" fillId="0" borderId="0" xfId="0" applyFont="1"/>
    <xf numFmtId="0" fontId="8" fillId="0" borderId="27" xfId="0" applyFont="1" applyBorder="1"/>
    <xf numFmtId="0" fontId="8" fillId="0" borderId="26" xfId="0" applyFont="1" applyBorder="1"/>
    <xf numFmtId="0" fontId="8" fillId="0" borderId="33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35" xfId="0" applyFont="1" applyBorder="1"/>
    <xf numFmtId="0" fontId="8" fillId="0" borderId="32" xfId="0" applyFont="1" applyBorder="1" applyAlignment="1">
      <alignment horizontal="right"/>
    </xf>
    <xf numFmtId="0" fontId="8" fillId="0" borderId="30" xfId="0" applyFont="1" applyBorder="1" applyAlignment="1">
      <alignment horizontal="right"/>
    </xf>
    <xf numFmtId="0" fontId="13" fillId="0" borderId="0" xfId="0" applyFont="1"/>
    <xf numFmtId="0" fontId="21" fillId="0" borderId="0" xfId="0" applyFont="1"/>
    <xf numFmtId="0" fontId="8" fillId="0" borderId="34" xfId="0" applyFont="1" applyBorder="1"/>
    <xf numFmtId="0" fontId="15" fillId="0" borderId="0" xfId="0" applyFont="1"/>
    <xf numFmtId="0" fontId="15" fillId="7" borderId="33" xfId="0" applyFont="1" applyFill="1" applyBorder="1"/>
    <xf numFmtId="0" fontId="15" fillId="7" borderId="0" xfId="0" applyFont="1" applyFill="1"/>
    <xf numFmtId="0" fontId="15" fillId="7" borderId="35" xfId="0" applyFont="1" applyFill="1" applyBorder="1"/>
    <xf numFmtId="164" fontId="8" fillId="0" borderId="19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9" xfId="0" applyFont="1" applyBorder="1"/>
    <xf numFmtId="0" fontId="22" fillId="7" borderId="33" xfId="0" applyFont="1" applyFill="1" applyBorder="1"/>
    <xf numFmtId="0" fontId="8" fillId="0" borderId="32" xfId="0" applyFont="1" applyBorder="1"/>
    <xf numFmtId="0" fontId="0" fillId="8" borderId="38" xfId="0" applyFill="1" applyBorder="1"/>
    <xf numFmtId="0" fontId="0" fillId="8" borderId="39" xfId="0" applyFill="1" applyBorder="1"/>
    <xf numFmtId="0" fontId="0" fillId="8" borderId="37" xfId="0" applyFill="1" applyBorder="1"/>
    <xf numFmtId="0" fontId="0" fillId="8" borderId="40" xfId="0" applyFill="1" applyBorder="1"/>
    <xf numFmtId="0" fontId="23" fillId="8" borderId="37" xfId="0" applyFont="1" applyFill="1" applyBorder="1"/>
    <xf numFmtId="0" fontId="23" fillId="10" borderId="36" xfId="0" applyFont="1" applyFill="1" applyBorder="1"/>
    <xf numFmtId="0" fontId="0" fillId="10" borderId="36" xfId="0" applyFill="1" applyBorder="1"/>
    <xf numFmtId="0" fontId="23" fillId="10" borderId="40" xfId="0" applyFont="1" applyFill="1" applyBorder="1"/>
    <xf numFmtId="0" fontId="0" fillId="0" borderId="36" xfId="0" applyBorder="1"/>
    <xf numFmtId="2" fontId="0" fillId="0" borderId="0" xfId="0" applyNumberFormat="1"/>
    <xf numFmtId="0" fontId="24" fillId="0" borderId="0" xfId="0" applyFont="1"/>
    <xf numFmtId="46" fontId="0" fillId="0" borderId="0" xfId="0" applyNumberFormat="1"/>
    <xf numFmtId="0" fontId="0" fillId="0" borderId="0" xfId="0"/>
    <xf numFmtId="0" fontId="0" fillId="0" borderId="36" xfId="0" applyBorder="1" applyAlignment="1">
      <alignment horizontal="center"/>
    </xf>
    <xf numFmtId="0" fontId="0" fillId="0" borderId="40" xfId="0" applyBorder="1" applyAlignment="1">
      <alignment horizontal="center"/>
    </xf>
    <xf numFmtId="0" fontId="25" fillId="0" borderId="36" xfId="0" applyFont="1" applyBorder="1"/>
    <xf numFmtId="0" fontId="1" fillId="2" borderId="4" xfId="0" applyFont="1" applyFill="1" applyBorder="1" applyAlignment="1">
      <alignment horizontal="center"/>
    </xf>
    <xf numFmtId="0" fontId="3" fillId="0" borderId="5" xfId="0" applyFont="1" applyBorder="1"/>
    <xf numFmtId="0" fontId="3" fillId="0" borderId="6" xfId="0" applyFont="1" applyBorder="1"/>
    <xf numFmtId="14" fontId="4" fillId="2" borderId="4" xfId="0" applyNumberFormat="1" applyFont="1" applyFill="1" applyBorder="1" applyAlignment="1">
      <alignment horizontal="center"/>
    </xf>
    <xf numFmtId="0" fontId="3" fillId="0" borderId="8" xfId="0" applyFont="1" applyBorder="1"/>
    <xf numFmtId="0" fontId="1" fillId="2" borderId="10" xfId="0" applyFont="1" applyFill="1" applyBorder="1" applyAlignment="1">
      <alignment horizontal="center"/>
    </xf>
    <xf numFmtId="0" fontId="3" fillId="0" borderId="11" xfId="0" applyFont="1" applyBorder="1"/>
    <xf numFmtId="0" fontId="3" fillId="0" borderId="12" xfId="0" applyFont="1" applyBorder="1"/>
    <xf numFmtId="0" fontId="5" fillId="2" borderId="10" xfId="0" applyFont="1" applyFill="1" applyBorder="1" applyAlignment="1">
      <alignment horizontal="center"/>
    </xf>
    <xf numFmtId="0" fontId="3" fillId="0" borderId="14" xfId="0" applyFont="1" applyBorder="1"/>
    <xf numFmtId="0" fontId="20" fillId="0" borderId="34" xfId="0" applyFont="1" applyBorder="1"/>
    <xf numFmtId="0" fontId="3" fillId="0" borderId="27" xfId="0" applyFont="1" applyBorder="1"/>
    <xf numFmtId="0" fontId="9" fillId="0" borderId="0" xfId="0" applyFont="1" applyAlignment="1">
      <alignment horizontal="center"/>
    </xf>
    <xf numFmtId="0" fontId="0" fillId="0" borderId="0" xfId="0"/>
    <xf numFmtId="0" fontId="21" fillId="0" borderId="0" xfId="0" applyFont="1" applyAlignment="1">
      <alignment horizontal="left"/>
    </xf>
    <xf numFmtId="164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16" fillId="0" borderId="22" xfId="0" applyFont="1" applyBorder="1" applyAlignment="1">
      <alignment horizontal="left"/>
    </xf>
    <xf numFmtId="0" fontId="3" fillId="0" borderId="23" xfId="0" applyFont="1" applyBorder="1"/>
    <xf numFmtId="0" fontId="3" fillId="0" borderId="24" xfId="0" applyFont="1" applyBorder="1"/>
    <xf numFmtId="0" fontId="8" fillId="0" borderId="23" xfId="0" applyFont="1" applyBorder="1" applyAlignment="1">
      <alignment horizontal="left"/>
    </xf>
    <xf numFmtId="0" fontId="8" fillId="0" borderId="31" xfId="0" applyFont="1" applyBorder="1" applyAlignment="1">
      <alignment horizontal="center"/>
    </xf>
    <xf numFmtId="0" fontId="3" fillId="0" borderId="28" xfId="0" applyFont="1" applyBorder="1"/>
    <xf numFmtId="0" fontId="8" fillId="0" borderId="0" xfId="0" applyFont="1"/>
    <xf numFmtId="0" fontId="11" fillId="6" borderId="23" xfId="0" applyFont="1" applyFill="1" applyBorder="1"/>
    <xf numFmtId="0" fontId="13" fillId="7" borderId="27" xfId="0" applyFont="1" applyFill="1" applyBorder="1" applyAlignment="1">
      <alignment horizontal="center"/>
    </xf>
    <xf numFmtId="0" fontId="3" fillId="0" borderId="26" xfId="0" applyFont="1" applyBorder="1"/>
    <xf numFmtId="0" fontId="8" fillId="0" borderId="22" xfId="0" applyFont="1" applyBorder="1" applyAlignment="1">
      <alignment horizontal="left"/>
    </xf>
    <xf numFmtId="0" fontId="0" fillId="0" borderId="42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11" borderId="36" xfId="0" applyFill="1" applyBorder="1" applyAlignment="1">
      <alignment horizontal="center"/>
    </xf>
    <xf numFmtId="2" fontId="0" fillId="0" borderId="45" xfId="0" applyNumberFormat="1" applyBorder="1" applyAlignment="1">
      <alignment horizontal="center" vertical="center" wrapText="1"/>
    </xf>
    <xf numFmtId="2" fontId="0" fillId="0" borderId="44" xfId="0" applyNumberFormat="1" applyBorder="1" applyAlignment="1">
      <alignment horizontal="center" vertical="center" wrapText="1"/>
    </xf>
    <xf numFmtId="2" fontId="0" fillId="0" borderId="43" xfId="0" applyNumberFormat="1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2" fontId="0" fillId="0" borderId="40" xfId="0" applyNumberForma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0" fontId="23" fillId="9" borderId="40" xfId="0" applyFont="1" applyFill="1" applyBorder="1" applyAlignment="1">
      <alignment horizontal="center"/>
    </xf>
    <xf numFmtId="0" fontId="23" fillId="9" borderId="42" xfId="0" applyFont="1" applyFill="1" applyBorder="1" applyAlignment="1">
      <alignment horizontal="center"/>
    </xf>
    <xf numFmtId="0" fontId="23" fillId="9" borderId="37" xfId="0" applyFont="1" applyFill="1" applyBorder="1" applyAlignment="1">
      <alignment horizontal="center"/>
    </xf>
    <xf numFmtId="0" fontId="23" fillId="9" borderId="36" xfId="0" applyFont="1" applyFill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23" fillId="9" borderId="46" xfId="0" applyFont="1" applyFill="1" applyBorder="1" applyAlignment="1">
      <alignment horizontal="left"/>
    </xf>
    <xf numFmtId="0" fontId="23" fillId="9" borderId="41" xfId="0" applyFont="1" applyFill="1" applyBorder="1" applyAlignment="1">
      <alignment horizontal="left"/>
    </xf>
    <xf numFmtId="0" fontId="0" fillId="12" borderId="36" xfId="0" applyFill="1" applyBorder="1" applyAlignment="1">
      <alignment horizontal="center"/>
    </xf>
    <xf numFmtId="0" fontId="26" fillId="0" borderId="19" xfId="0" applyFont="1" applyBorder="1" applyAlignment="1">
      <alignment horizontal="center" vertical="center"/>
    </xf>
    <xf numFmtId="0" fontId="27" fillId="13" borderId="22" xfId="0" applyFont="1" applyFill="1" applyBorder="1" applyAlignment="1">
      <alignment horizontal="center" vertical="center"/>
    </xf>
    <xf numFmtId="0" fontId="28" fillId="0" borderId="23" xfId="0" applyFont="1" applyBorder="1"/>
    <xf numFmtId="0" fontId="28" fillId="0" borderId="24" xfId="0" applyFont="1" applyBorder="1"/>
    <xf numFmtId="0" fontId="27" fillId="0" borderId="19" xfId="0" applyFont="1" applyBorder="1" applyAlignment="1">
      <alignment horizontal="center" vertical="center"/>
    </xf>
    <xf numFmtId="4" fontId="27" fillId="0" borderId="19" xfId="0" applyNumberFormat="1" applyFont="1" applyBorder="1" applyAlignment="1">
      <alignment horizontal="center" vertical="center"/>
    </xf>
    <xf numFmtId="0" fontId="27" fillId="14" borderId="22" xfId="0" applyFont="1" applyFill="1" applyBorder="1" applyAlignment="1">
      <alignment horizontal="center" vertical="center"/>
    </xf>
    <xf numFmtId="0" fontId="27" fillId="16" borderId="19" xfId="0" applyFont="1" applyFill="1" applyBorder="1" applyAlignment="1">
      <alignment horizontal="center" vertical="center"/>
    </xf>
    <xf numFmtId="0" fontId="0" fillId="11" borderId="40" xfId="0" applyFill="1" applyBorder="1" applyAlignment="1">
      <alignment horizontal="center"/>
    </xf>
    <xf numFmtId="0" fontId="0" fillId="11" borderId="42" xfId="0" applyFill="1" applyBorder="1" applyAlignment="1">
      <alignment horizontal="center"/>
    </xf>
    <xf numFmtId="0" fontId="0" fillId="0" borderId="42" xfId="0" applyBorder="1" applyAlignment="1"/>
    <xf numFmtId="0" fontId="0" fillId="0" borderId="21" xfId="0" applyBorder="1"/>
    <xf numFmtId="0" fontId="0" fillId="0" borderId="21" xfId="0" applyFill="1" applyBorder="1"/>
    <xf numFmtId="0" fontId="0" fillId="0" borderId="21" xfId="0" applyFill="1" applyBorder="1" applyAlignment="1"/>
    <xf numFmtId="0" fontId="0" fillId="0" borderId="47" xfId="0" applyFill="1" applyBorder="1"/>
    <xf numFmtId="0" fontId="0" fillId="0" borderId="47" xfId="0" applyFill="1" applyBorder="1" applyAlignment="1"/>
    <xf numFmtId="0" fontId="0" fillId="11" borderId="48" xfId="0" applyFill="1" applyBorder="1" applyAlignment="1">
      <alignment horizontal="center"/>
    </xf>
    <xf numFmtId="0" fontId="0" fillId="0" borderId="48" xfId="0" applyBorder="1"/>
    <xf numFmtId="0" fontId="29" fillId="15" borderId="22" xfId="0" applyFont="1" applyFill="1" applyBorder="1" applyAlignment="1">
      <alignment horizontal="center" vertical="center"/>
    </xf>
    <xf numFmtId="2" fontId="27" fillId="0" borderId="19" xfId="0" applyNumberFormat="1" applyFont="1" applyBorder="1" applyAlignment="1">
      <alignment horizontal="center" vertical="center"/>
    </xf>
    <xf numFmtId="0" fontId="29" fillId="17" borderId="22" xfId="0" applyFont="1" applyFill="1" applyBorder="1" applyAlignment="1">
      <alignment horizontal="center" vertical="center"/>
    </xf>
    <xf numFmtId="0" fontId="28" fillId="18" borderId="23" xfId="0" applyFont="1" applyFill="1" applyBorder="1"/>
    <xf numFmtId="0" fontId="28" fillId="18" borderId="24" xfId="0" applyFont="1" applyFill="1" applyBorder="1"/>
    <xf numFmtId="0" fontId="29" fillId="19" borderId="22" xfId="0" applyFont="1" applyFill="1" applyBorder="1" applyAlignment="1">
      <alignment horizontal="center" vertical="center"/>
    </xf>
    <xf numFmtId="0" fontId="28" fillId="9" borderId="23" xfId="0" applyFont="1" applyFill="1" applyBorder="1"/>
    <xf numFmtId="0" fontId="28" fillId="9" borderId="24" xfId="0" applyFont="1" applyFill="1" applyBorder="1"/>
    <xf numFmtId="0" fontId="30" fillId="0" borderId="45" xfId="0" applyFont="1" applyFill="1" applyBorder="1" applyAlignment="1">
      <alignment horizontal="center"/>
    </xf>
    <xf numFmtId="0" fontId="30" fillId="0" borderId="43" xfId="0" applyFont="1" applyFill="1" applyBorder="1" applyAlignment="1">
      <alignment horizontal="center"/>
    </xf>
    <xf numFmtId="0" fontId="30" fillId="0" borderId="47" xfId="0" applyFont="1" applyFill="1" applyBorder="1" applyAlignment="1">
      <alignment horizontal="center"/>
    </xf>
    <xf numFmtId="0" fontId="30" fillId="0" borderId="49" xfId="0" applyFont="1" applyFill="1" applyBorder="1" applyAlignment="1">
      <alignment horizontal="center"/>
    </xf>
    <xf numFmtId="0" fontId="30" fillId="0" borderId="49" xfId="0" applyFont="1" applyFill="1" applyBorder="1"/>
    <xf numFmtId="0" fontId="30" fillId="0" borderId="49" xfId="0" applyFont="1" applyFill="1" applyBorder="1" applyAlignment="1"/>
    <xf numFmtId="0" fontId="30" fillId="0" borderId="39" xfId="0" applyFont="1" applyFill="1" applyBorder="1" applyAlignment="1">
      <alignment horizontal="center"/>
    </xf>
    <xf numFmtId="0" fontId="30" fillId="0" borderId="38" xfId="0" applyFont="1" applyFill="1" applyBorder="1" applyAlignment="1">
      <alignment horizontal="center"/>
    </xf>
    <xf numFmtId="0" fontId="31" fillId="0" borderId="0" xfId="0" applyFont="1"/>
    <xf numFmtId="0" fontId="31" fillId="20" borderId="46" xfId="0" applyFont="1" applyFill="1" applyBorder="1" applyAlignment="1">
      <alignment horizontal="center"/>
    </xf>
    <xf numFmtId="0" fontId="31" fillId="8" borderId="36" xfId="0" applyFont="1" applyFill="1" applyBorder="1" applyAlignment="1">
      <alignment horizontal="center"/>
    </xf>
    <xf numFmtId="0" fontId="27" fillId="13" borderId="34" xfId="0" applyFont="1" applyFill="1" applyBorder="1" applyAlignment="1">
      <alignment horizontal="center" vertical="center"/>
    </xf>
    <xf numFmtId="0" fontId="27" fillId="13" borderId="27" xfId="0" applyFont="1" applyFill="1" applyBorder="1" applyAlignment="1">
      <alignment horizontal="center" vertical="center"/>
    </xf>
    <xf numFmtId="0" fontId="27" fillId="14" borderId="23" xfId="0" applyFont="1" applyFill="1" applyBorder="1" applyAlignment="1">
      <alignment horizontal="center" vertical="center"/>
    </xf>
    <xf numFmtId="0" fontId="27" fillId="14" borderId="24" xfId="0" applyFont="1" applyFill="1" applyBorder="1" applyAlignment="1">
      <alignment horizontal="center" vertical="center"/>
    </xf>
    <xf numFmtId="0" fontId="29" fillId="15" borderId="23" xfId="0" applyFont="1" applyFill="1" applyBorder="1" applyAlignment="1">
      <alignment horizontal="center" vertical="center"/>
    </xf>
    <xf numFmtId="0" fontId="29" fillId="15" borderId="24" xfId="0" applyFont="1" applyFill="1" applyBorder="1" applyAlignment="1">
      <alignment horizontal="center" vertical="center"/>
    </xf>
    <xf numFmtId="0" fontId="29" fillId="17" borderId="23" xfId="0" applyFont="1" applyFill="1" applyBorder="1" applyAlignment="1">
      <alignment horizontal="center" vertical="center"/>
    </xf>
    <xf numFmtId="0" fontId="29" fillId="17" borderId="24" xfId="0" applyFont="1" applyFill="1" applyBorder="1" applyAlignment="1">
      <alignment horizontal="center" vertical="center"/>
    </xf>
    <xf numFmtId="0" fontId="29" fillId="19" borderId="23" xfId="0" applyFont="1" applyFill="1" applyBorder="1" applyAlignment="1">
      <alignment horizontal="center" vertical="center"/>
    </xf>
    <xf numFmtId="0" fontId="29" fillId="19" borderId="24" xfId="0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2" fontId="29" fillId="0" borderId="19" xfId="0" applyNumberFormat="1" applyFont="1" applyBorder="1" applyAlignment="1">
      <alignment horizontal="center" vertical="center"/>
    </xf>
    <xf numFmtId="4" fontId="29" fillId="0" borderId="19" xfId="0" applyNumberFormat="1" applyFont="1" applyBorder="1" applyAlignment="1">
      <alignment horizontal="center" vertical="center"/>
    </xf>
    <xf numFmtId="0" fontId="0" fillId="11" borderId="47" xfId="0" applyFill="1" applyBorder="1" applyAlignment="1">
      <alignment horizontal="center"/>
    </xf>
    <xf numFmtId="0" fontId="0" fillId="11" borderId="21" xfId="0" applyFill="1" applyBorder="1" applyAlignment="1">
      <alignment horizontal="center"/>
    </xf>
    <xf numFmtId="0" fontId="0" fillId="0" borderId="44" xfId="0" applyBorder="1" applyAlignment="1"/>
    <xf numFmtId="0" fontId="23" fillId="10" borderId="50" xfId="0" applyFont="1" applyFill="1" applyBorder="1"/>
    <xf numFmtId="0" fontId="0" fillId="0" borderId="50" xfId="0" applyBorder="1" applyAlignment="1">
      <alignment horizontal="center"/>
    </xf>
    <xf numFmtId="0" fontId="0" fillId="0" borderId="48" xfId="0" applyBorder="1" applyAlignment="1"/>
    <xf numFmtId="0" fontId="0" fillId="0" borderId="48" xfId="0" applyFill="1" applyBorder="1" applyAlignment="1"/>
    <xf numFmtId="0" fontId="27" fillId="0" borderId="25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4" fontId="27" fillId="0" borderId="21" xfId="0" applyNumberFormat="1" applyFont="1" applyBorder="1" applyAlignment="1">
      <alignment horizontal="center" vertical="center"/>
    </xf>
    <xf numFmtId="2" fontId="27" fillId="0" borderId="21" xfId="0" applyNumberFormat="1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4" fontId="27" fillId="0" borderId="44" xfId="0" applyNumberFormat="1" applyFont="1" applyBorder="1" applyAlignment="1">
      <alignment horizontal="center" vertical="center"/>
    </xf>
    <xf numFmtId="0" fontId="27" fillId="0" borderId="44" xfId="0" applyFont="1" applyFill="1" applyBorder="1" applyAlignment="1">
      <alignment horizontal="center" vertical="center"/>
    </xf>
    <xf numFmtId="0" fontId="27" fillId="0" borderId="21" xfId="0" applyFont="1" applyFill="1" applyBorder="1" applyAlignment="1">
      <alignment horizontal="center" vertical="center"/>
    </xf>
    <xf numFmtId="0" fontId="0" fillId="0" borderId="40" xfId="0" applyBorder="1" applyAlignment="1"/>
    <xf numFmtId="0" fontId="0" fillId="0" borderId="37" xfId="0" applyBorder="1" applyAlignment="1"/>
    <xf numFmtId="0" fontId="24" fillId="0" borderId="36" xfId="0" applyFont="1" applyBorder="1"/>
    <xf numFmtId="0" fontId="0" fillId="0" borderId="46" xfId="0" applyBorder="1"/>
    <xf numFmtId="0" fontId="0" fillId="0" borderId="44" xfId="0" applyBorder="1"/>
    <xf numFmtId="0" fontId="24" fillId="0" borderId="36" xfId="0" applyFont="1" applyBorder="1" applyAlignment="1">
      <alignment horizontal="center"/>
    </xf>
    <xf numFmtId="0" fontId="24" fillId="0" borderId="40" xfId="0" applyFont="1" applyBorder="1" applyAlignment="1">
      <alignment horizontal="center"/>
    </xf>
    <xf numFmtId="4" fontId="0" fillId="0" borderId="46" xfId="0" applyNumberFormat="1" applyBorder="1"/>
    <xf numFmtId="2" fontId="0" fillId="0" borderId="36" xfId="0" applyNumberFormat="1" applyBorder="1"/>
    <xf numFmtId="4" fontId="0" fillId="0" borderId="36" xfId="0" applyNumberFormat="1" applyBorder="1"/>
    <xf numFmtId="1" fontId="0" fillId="0" borderId="46" xfId="0" applyNumberFormat="1" applyBorder="1"/>
    <xf numFmtId="0" fontId="30" fillId="0" borderId="36" xfId="0" applyFont="1" applyBorder="1"/>
    <xf numFmtId="0" fontId="31" fillId="0" borderId="36" xfId="0" applyFont="1" applyBorder="1" applyAlignment="1">
      <alignment horizontal="center" vertical="center"/>
    </xf>
    <xf numFmtId="169" fontId="30" fillId="0" borderId="36" xfId="0" applyNumberFormat="1" applyFont="1" applyBorder="1"/>
    <xf numFmtId="0" fontId="24" fillId="0" borderId="0" xfId="0" applyFont="1" applyAlignment="1">
      <alignment horizontal="center"/>
    </xf>
    <xf numFmtId="0" fontId="24" fillId="0" borderId="21" xfId="0" applyFont="1" applyBorder="1" applyAlignment="1">
      <alignment horizontal="center"/>
    </xf>
    <xf numFmtId="0" fontId="0" fillId="0" borderId="44" xfId="0" applyBorder="1" applyAlignment="1">
      <alignment horizontal="center"/>
    </xf>
    <xf numFmtId="0" fontId="24" fillId="21" borderId="40" xfId="0" applyFont="1" applyFill="1" applyBorder="1" applyAlignment="1">
      <alignment horizontal="center"/>
    </xf>
    <xf numFmtId="0" fontId="24" fillId="21" borderId="42" xfId="0" applyFont="1" applyFill="1" applyBorder="1" applyAlignment="1">
      <alignment horizontal="center"/>
    </xf>
    <xf numFmtId="0" fontId="24" fillId="21" borderId="37" xfId="0" applyFont="1" applyFill="1" applyBorder="1" applyAlignment="1">
      <alignment horizontal="center"/>
    </xf>
    <xf numFmtId="0" fontId="24" fillId="8" borderId="40" xfId="0" applyFont="1" applyFill="1" applyBorder="1" applyAlignment="1">
      <alignment horizontal="center"/>
    </xf>
    <xf numFmtId="0" fontId="24" fillId="8" borderId="42" xfId="0" applyFont="1" applyFill="1" applyBorder="1" applyAlignment="1">
      <alignment horizontal="center"/>
    </xf>
    <xf numFmtId="0" fontId="24" fillId="8" borderId="37" xfId="0" applyFont="1" applyFill="1" applyBorder="1" applyAlignment="1">
      <alignment horizontal="center"/>
    </xf>
    <xf numFmtId="0" fontId="24" fillId="20" borderId="40" xfId="0" applyFont="1" applyFill="1" applyBorder="1" applyAlignment="1">
      <alignment horizontal="center"/>
    </xf>
    <xf numFmtId="0" fontId="24" fillId="20" borderId="42" xfId="0" applyFont="1" applyFill="1" applyBorder="1" applyAlignment="1">
      <alignment horizontal="center"/>
    </xf>
    <xf numFmtId="0" fontId="24" fillId="20" borderId="37" xfId="0" applyFont="1" applyFill="1" applyBorder="1" applyAlignment="1">
      <alignment horizontal="center"/>
    </xf>
    <xf numFmtId="0" fontId="24" fillId="18" borderId="40" xfId="0" applyFont="1" applyFill="1" applyBorder="1" applyAlignment="1">
      <alignment horizontal="center"/>
    </xf>
    <xf numFmtId="0" fontId="24" fillId="18" borderId="42" xfId="0" applyFont="1" applyFill="1" applyBorder="1" applyAlignment="1">
      <alignment horizontal="center"/>
    </xf>
    <xf numFmtId="0" fontId="24" fillId="18" borderId="37" xfId="0" applyFont="1" applyFill="1" applyBorder="1" applyAlignment="1">
      <alignment horizontal="center"/>
    </xf>
    <xf numFmtId="0" fontId="24" fillId="9" borderId="40" xfId="0" applyFont="1" applyFill="1" applyBorder="1" applyAlignment="1">
      <alignment horizontal="center"/>
    </xf>
    <xf numFmtId="0" fontId="24" fillId="9" borderId="42" xfId="0" applyFont="1" applyFill="1" applyBorder="1" applyAlignment="1">
      <alignment horizontal="center"/>
    </xf>
    <xf numFmtId="0" fontId="24" fillId="9" borderId="37" xfId="0" applyFont="1" applyFill="1" applyBorder="1" applyAlignment="1">
      <alignment horizontal="center"/>
    </xf>
    <xf numFmtId="2" fontId="0" fillId="22" borderId="46" xfId="0" applyNumberFormat="1" applyFill="1" applyBorder="1"/>
    <xf numFmtId="0" fontId="7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36" fillId="0" borderId="36" xfId="0" applyFont="1" applyBorder="1" applyAlignment="1">
      <alignment horizontal="center"/>
    </xf>
    <xf numFmtId="0" fontId="37" fillId="0" borderId="36" xfId="0" applyFont="1" applyBorder="1" applyAlignment="1">
      <alignment horizontal="center"/>
    </xf>
    <xf numFmtId="0" fontId="38" fillId="0" borderId="36" xfId="0" applyFont="1" applyBorder="1"/>
    <xf numFmtId="0" fontId="30" fillId="0" borderId="36" xfId="0" applyFont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31" fillId="21" borderId="36" xfId="0" applyFont="1" applyFill="1" applyBorder="1" applyAlignment="1">
      <alignment horizontal="center" vertical="center" wrapText="1"/>
    </xf>
    <xf numFmtId="0" fontId="30" fillId="21" borderId="36" xfId="0" applyFont="1" applyFill="1" applyBorder="1" applyAlignment="1">
      <alignment horizontal="center" vertical="center" wrapText="1"/>
    </xf>
    <xf numFmtId="0" fontId="34" fillId="3" borderId="15" xfId="0" applyFont="1" applyFill="1" applyBorder="1" applyAlignment="1">
      <alignment horizontal="center"/>
    </xf>
    <xf numFmtId="0" fontId="34" fillId="3" borderId="16" xfId="0" applyFont="1" applyFill="1" applyBorder="1" applyAlignment="1">
      <alignment horizontal="center"/>
    </xf>
    <xf numFmtId="0" fontId="34" fillId="3" borderId="16" xfId="0" applyFont="1" applyFill="1" applyBorder="1" applyAlignment="1">
      <alignment horizontal="center" wrapText="1"/>
    </xf>
    <xf numFmtId="0" fontId="34" fillId="3" borderId="17" xfId="0" applyFont="1" applyFill="1" applyBorder="1" applyAlignment="1">
      <alignment horizontal="center"/>
    </xf>
    <xf numFmtId="14" fontId="35" fillId="4" borderId="19" xfId="0" applyNumberFormat="1" applyFont="1" applyFill="1" applyBorder="1" applyAlignment="1">
      <alignment horizontal="center"/>
    </xf>
    <xf numFmtId="0" fontId="34" fillId="4" borderId="19" xfId="0" applyFont="1" applyFill="1" applyBorder="1" applyAlignment="1">
      <alignment horizontal="center"/>
    </xf>
    <xf numFmtId="0" fontId="34" fillId="4" borderId="19" xfId="0" applyFont="1" applyFill="1" applyBorder="1" applyAlignment="1">
      <alignment horizontal="center" wrapText="1"/>
    </xf>
    <xf numFmtId="14" fontId="35" fillId="2" borderId="19" xfId="0" applyNumberFormat="1" applyFont="1" applyFill="1" applyBorder="1" applyAlignment="1">
      <alignment horizontal="center"/>
    </xf>
    <xf numFmtId="20" fontId="35" fillId="2" borderId="19" xfId="0" applyNumberFormat="1" applyFont="1" applyFill="1" applyBorder="1" applyAlignment="1">
      <alignment horizontal="center"/>
    </xf>
    <xf numFmtId="0" fontId="35" fillId="2" borderId="19" xfId="0" applyFont="1" applyFill="1" applyBorder="1" applyAlignment="1">
      <alignment horizontal="center"/>
    </xf>
    <xf numFmtId="0" fontId="35" fillId="2" borderId="19" xfId="0" applyFont="1" applyFill="1" applyBorder="1" applyAlignment="1">
      <alignment horizontal="center" wrapText="1"/>
    </xf>
    <xf numFmtId="0" fontId="34" fillId="2" borderId="19" xfId="0" applyFont="1" applyFill="1" applyBorder="1" applyAlignment="1">
      <alignment horizontal="center"/>
    </xf>
    <xf numFmtId="14" fontId="35" fillId="5" borderId="19" xfId="0" applyNumberFormat="1" applyFont="1" applyFill="1" applyBorder="1" applyAlignment="1">
      <alignment horizontal="center"/>
    </xf>
    <xf numFmtId="0" fontId="34" fillId="5" borderId="19" xfId="0" applyFont="1" applyFill="1" applyBorder="1" applyAlignment="1">
      <alignment horizontal="center"/>
    </xf>
    <xf numFmtId="0" fontId="34" fillId="5" borderId="19" xfId="0" applyFont="1" applyFill="1" applyBorder="1" applyAlignment="1">
      <alignment horizontal="center" wrapText="1"/>
    </xf>
    <xf numFmtId="0" fontId="35" fillId="4" borderId="19" xfId="0" applyFont="1" applyFill="1" applyBorder="1" applyAlignment="1">
      <alignment horizontal="center" wrapText="1"/>
    </xf>
    <xf numFmtId="14" fontId="35" fillId="0" borderId="19" xfId="0" applyNumberFormat="1" applyFont="1" applyBorder="1" applyAlignment="1">
      <alignment horizontal="center"/>
    </xf>
    <xf numFmtId="20" fontId="35" fillId="0" borderId="19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19" xfId="0" applyFont="1" applyBorder="1" applyAlignment="1">
      <alignment horizontal="center" wrapText="1"/>
    </xf>
    <xf numFmtId="0" fontId="34" fillId="0" borderId="19" xfId="0" applyFont="1" applyBorder="1" applyAlignment="1">
      <alignment horizontal="center"/>
    </xf>
    <xf numFmtId="0" fontId="34" fillId="4" borderId="22" xfId="0" applyFont="1" applyFill="1" applyBorder="1" applyAlignment="1">
      <alignment horizontal="center"/>
    </xf>
    <xf numFmtId="0" fontId="34" fillId="4" borderId="23" xfId="0" applyFont="1" applyFill="1" applyBorder="1" applyAlignment="1">
      <alignment horizontal="center"/>
    </xf>
    <xf numFmtId="0" fontId="34" fillId="4" borderId="24" xfId="0" applyFont="1" applyFill="1" applyBorder="1" applyAlignment="1">
      <alignment horizontal="center"/>
    </xf>
    <xf numFmtId="0" fontId="34" fillId="5" borderId="22" xfId="0" applyFont="1" applyFill="1" applyBorder="1" applyAlignment="1">
      <alignment horizontal="center"/>
    </xf>
    <xf numFmtId="0" fontId="34" fillId="5" borderId="23" xfId="0" applyFont="1" applyFill="1" applyBorder="1" applyAlignment="1">
      <alignment horizontal="center"/>
    </xf>
    <xf numFmtId="0" fontId="34" fillId="5" borderId="24" xfId="0" applyFont="1" applyFill="1" applyBorder="1" applyAlignment="1">
      <alignment horizontal="center"/>
    </xf>
    <xf numFmtId="0" fontId="8" fillId="8" borderId="29" xfId="0" applyFont="1" applyFill="1" applyBorder="1"/>
    <xf numFmtId="20" fontId="42" fillId="0" borderId="21" xfId="0" applyNumberFormat="1" applyFont="1" applyBorder="1"/>
    <xf numFmtId="20" fontId="0" fillId="0" borderId="0" xfId="0" applyNumberFormat="1"/>
    <xf numFmtId="0" fontId="8" fillId="0" borderId="21" xfId="0" applyFont="1" applyBorder="1"/>
    <xf numFmtId="0" fontId="8" fillId="0" borderId="21" xfId="0" applyFont="1" applyFill="1" applyBorder="1"/>
    <xf numFmtId="0" fontId="15" fillId="0" borderId="21" xfId="0" applyFont="1" applyFill="1" applyBorder="1"/>
    <xf numFmtId="164" fontId="8" fillId="0" borderId="21" xfId="0" applyNumberFormat="1" applyFont="1" applyFill="1" applyBorder="1" applyAlignment="1">
      <alignment horizontal="right"/>
    </xf>
    <xf numFmtId="0" fontId="8" fillId="0" borderId="21" xfId="0" applyFont="1" applyFill="1" applyBorder="1" applyAlignment="1">
      <alignment horizontal="right"/>
    </xf>
    <xf numFmtId="0" fontId="22" fillId="0" borderId="21" xfId="0" applyFont="1" applyFill="1" applyBorder="1"/>
    <xf numFmtId="0" fontId="16" fillId="0" borderId="21" xfId="0" applyFont="1" applyFill="1" applyBorder="1" applyAlignment="1">
      <alignment horizontal="left"/>
    </xf>
    <xf numFmtId="0" fontId="3" fillId="0" borderId="21" xfId="0" applyFont="1" applyFill="1" applyBorder="1"/>
    <xf numFmtId="0" fontId="22" fillId="7" borderId="51" xfId="0" applyFont="1" applyFill="1" applyBorder="1"/>
    <xf numFmtId="0" fontId="16" fillId="0" borderId="52" xfId="0" applyFont="1" applyBorder="1" applyAlignment="1">
      <alignment horizontal="left"/>
    </xf>
    <xf numFmtId="0" fontId="3" fillId="0" borderId="53" xfId="0" applyFont="1" applyBorder="1"/>
    <xf numFmtId="0" fontId="3" fillId="0" borderId="54" xfId="0" applyFont="1" applyBorder="1"/>
    <xf numFmtId="0" fontId="0" fillId="23" borderId="0" xfId="0" applyFill="1"/>
    <xf numFmtId="0" fontId="0" fillId="8" borderId="0" xfId="0" applyFill="1"/>
    <xf numFmtId="0" fontId="0" fillId="22" borderId="21" xfId="0" applyFill="1" applyBorder="1"/>
    <xf numFmtId="0" fontId="0" fillId="21" borderId="21" xfId="0" applyFill="1" applyBorder="1"/>
    <xf numFmtId="0" fontId="24" fillId="0" borderId="21" xfId="0" applyFont="1" applyBorder="1"/>
    <xf numFmtId="0" fontId="25" fillId="8" borderId="0" xfId="0" applyFont="1" applyFill="1"/>
    <xf numFmtId="0" fontId="4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Tabla 15.3 Resumen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Tabla 15.3 Resumen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Tabla 15.3 Resumen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Tabla 15.3 Resumen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Tabla 15.3 Resumen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Tabla 15.3 Resumen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Tabla 15.3 Resumen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Cuaderno de Defectos'!A1"/><Relationship Id="rId1" Type="http://schemas.openxmlformats.org/officeDocument/2006/relationships/hyperlink" Target="#'Tabla 15.3 Resume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Tabla 15.1 C&#225;lculo Defectos'!A1"/><Relationship Id="rId3" Type="http://schemas.openxmlformats.org/officeDocument/2006/relationships/hyperlink" Target="#'Tabla 6.6 CRT'!A1"/><Relationship Id="rId7" Type="http://schemas.openxmlformats.org/officeDocument/2006/relationships/hyperlink" Target="#'Tabla 6.7 C_Trabajo'!A1"/><Relationship Id="rId2" Type="http://schemas.openxmlformats.org/officeDocument/2006/relationships/hyperlink" Target="#'Tabla 6.2 Tiempos de desarrollo'!A1"/><Relationship Id="rId1" Type="http://schemas.openxmlformats.org/officeDocument/2006/relationships/hyperlink" Target="#'Tabla 6.4-6.5 Estimaci&#243;n tama&#241;o'!A1"/><Relationship Id="rId6" Type="http://schemas.openxmlformats.org/officeDocument/2006/relationships/hyperlink" Target="#'Diccionario de Actividades'!A1"/><Relationship Id="rId5" Type="http://schemas.openxmlformats.org/officeDocument/2006/relationships/hyperlink" Target="#'Tabla 6.3 Rasgos de tama&#241;os'!A1"/><Relationship Id="rId4" Type="http://schemas.openxmlformats.org/officeDocument/2006/relationships/hyperlink" Target="#'Cuaderno de Defectos'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685800</xdr:colOff>
      <xdr:row>17</xdr:row>
      <xdr:rowOff>80010</xdr:rowOff>
    </xdr:from>
    <xdr:ext cx="3672840" cy="3215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18194BA1-FCFA-9E21-379C-BB1E7FAEB78E}"/>
                </a:ext>
              </a:extLst>
            </xdr:cNvPr>
            <xdr:cNvSpPr txBox="1"/>
          </xdr:nvSpPr>
          <xdr:spPr>
            <a:xfrm>
              <a:off x="8900160" y="4461510"/>
              <a:ext cx="3672840" cy="3215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b="1" i="1">
                        <a:latin typeface="Cambria Math" panose="02040503050406030204" pitchFamily="18" charset="0"/>
                      </a:rPr>
                      <m:t>𝑹𝒂𝒏𝒈𝒐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𝒎𝒊𝒏𝒖𝒕𝒐𝒔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𝒙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𝑳𝑶𝑪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EC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𝑻𝒊𝒆𝒎𝒑𝒐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𝒅𝒆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𝒅𝒆𝒔𝒂𝒓𝒓𝒐𝒍𝒍𝒐</m:t>
                        </m:r>
                      </m:num>
                      <m:den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𝑳𝑶𝑪</m:t>
                        </m:r>
                      </m:den>
                    </m:f>
                  </m:oMath>
                </m:oMathPara>
              </a14:m>
              <a:endParaRPr lang="es-MX" sz="1100" b="1"/>
            </a:p>
          </xdr:txBody>
        </xdr:sp>
      </mc:Choice>
      <mc:Fallback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18194BA1-FCFA-9E21-379C-BB1E7FAEB78E}"/>
                </a:ext>
              </a:extLst>
            </xdr:cNvPr>
            <xdr:cNvSpPr txBox="1"/>
          </xdr:nvSpPr>
          <xdr:spPr>
            <a:xfrm>
              <a:off x="8900160" y="4461510"/>
              <a:ext cx="3672840" cy="3215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C" sz="1100" b="1" i="0">
                  <a:latin typeface="Cambria Math" panose="02040503050406030204" pitchFamily="18" charset="0"/>
                </a:rPr>
                <a:t>𝑹𝒂𝒏𝒈𝒐 𝒅𝒆 𝒎𝒊𝒏𝒖𝒕𝒐𝒔 𝒙 𝑳𝑶𝑪=  (𝑻𝒊𝒆𝒎𝒑𝒐 𝒅𝒆 𝒅𝒆𝒔𝒂𝒓𝒓𝒐𝒍𝒍𝒐)/𝑳𝑶𝑪</a:t>
              </a:r>
              <a:endParaRPr lang="es-MX" sz="1100" b="1"/>
            </a:p>
          </xdr:txBody>
        </xdr:sp>
      </mc:Fallback>
    </mc:AlternateContent>
    <xdr:clientData/>
  </xdr:oneCellAnchor>
  <xdr:oneCellAnchor>
    <xdr:from>
      <xdr:col>5</xdr:col>
      <xdr:colOff>731520</xdr:colOff>
      <xdr:row>20</xdr:row>
      <xdr:rowOff>72390</xdr:rowOff>
    </xdr:from>
    <xdr:ext cx="4183380" cy="3524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4D1AFC9F-4F2F-40D2-9183-F3789255B04D}"/>
                </a:ext>
              </a:extLst>
            </xdr:cNvPr>
            <xdr:cNvSpPr txBox="1"/>
          </xdr:nvSpPr>
          <xdr:spPr>
            <a:xfrm>
              <a:off x="8945880" y="4979670"/>
              <a:ext cx="4183380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b="1" i="1">
                        <a:latin typeface="Cambria Math" panose="02040503050406030204" pitchFamily="18" charset="0"/>
                      </a:rPr>
                      <m:t>𝑴𝒆𝒅𝒊𝒂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𝒕𝒊𝒆𝒎𝒑𝒐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𝒅𝒆𝒔𝒂𝒓𝒓𝒐𝒍𝒍𝒐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EC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𝚺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𝑻𝒊𝒆𝒎𝒑𝒐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𝒅𝒆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𝒅𝒆𝒔𝒂𝒓𝒓𝒐𝒍𝒍𝒐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𝑵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𝑷𝒓𝒐𝒈𝒓𝒂𝒎𝒂𝒔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MX" sz="1100" b="1"/>
            </a:p>
          </xdr:txBody>
        </xdr:sp>
      </mc:Choice>
      <mc:Fallback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4D1AFC9F-4F2F-40D2-9183-F3789255B04D}"/>
                </a:ext>
              </a:extLst>
            </xdr:cNvPr>
            <xdr:cNvSpPr txBox="1"/>
          </xdr:nvSpPr>
          <xdr:spPr>
            <a:xfrm>
              <a:off x="8945880" y="4979670"/>
              <a:ext cx="4183380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C" sz="1100" b="1" i="0">
                  <a:latin typeface="Cambria Math" panose="02040503050406030204" pitchFamily="18" charset="0"/>
                </a:rPr>
                <a:t>𝑴𝒆𝒅𝒊𝒂 𝒅𝒆 𝒕𝒊𝒆𝒎𝒑𝒐 𝒅𝒆 𝒅𝒆𝒔𝒂𝒓𝒓𝒐𝒍𝒍𝒐= </a:t>
              </a:r>
              <a:r>
                <a:rPr lang="es-EC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(𝚺(𝑻𝒊𝒆𝒎𝒑𝒐 𝒅𝒆 𝒅𝒆𝒔𝒂𝒓𝒓𝒐𝒍𝒍𝒐))/(</a:t>
              </a:r>
              <a:r>
                <a:rPr lang="es-EC" sz="1100" b="1" i="0">
                  <a:latin typeface="Cambria Math" panose="02040503050406030204" pitchFamily="18" charset="0"/>
                </a:rPr>
                <a:t>𝑵(𝑷𝒓𝒐𝒈𝒓𝒂𝒎𝒂𝒔))</a:t>
              </a:r>
              <a:endParaRPr lang="es-MX" sz="1100" b="1"/>
            </a:p>
          </xdr:txBody>
        </xdr:sp>
      </mc:Fallback>
    </mc:AlternateContent>
    <xdr:clientData/>
  </xdr:oneCellAnchor>
  <xdr:oneCellAnchor>
    <xdr:from>
      <xdr:col>4</xdr:col>
      <xdr:colOff>1981200</xdr:colOff>
      <xdr:row>26</xdr:row>
      <xdr:rowOff>72390</xdr:rowOff>
    </xdr:from>
    <xdr:ext cx="4244340" cy="3524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D28D1BD3-9B9A-4BF6-9977-9A8A10708B13}"/>
                </a:ext>
              </a:extLst>
            </xdr:cNvPr>
            <xdr:cNvSpPr txBox="1"/>
          </xdr:nvSpPr>
          <xdr:spPr>
            <a:xfrm>
              <a:off x="7970520" y="4629150"/>
              <a:ext cx="4244340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b="1" i="1">
                        <a:latin typeface="Cambria Math" panose="02040503050406030204" pitchFamily="18" charset="0"/>
                      </a:rPr>
                      <m:t>𝑴𝒆𝒅𝒊𝒂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𝑳𝑶𝑪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EC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𝚺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𝑳𝑶𝑪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𝑵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𝑷𝒓𝒐𝒈𝒓𝒂𝒎𝒂𝒔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MX" sz="1100" b="1"/>
            </a:p>
          </xdr:txBody>
        </xdr:sp>
      </mc:Choice>
      <mc:Fallback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D28D1BD3-9B9A-4BF6-9977-9A8A10708B13}"/>
                </a:ext>
              </a:extLst>
            </xdr:cNvPr>
            <xdr:cNvSpPr txBox="1"/>
          </xdr:nvSpPr>
          <xdr:spPr>
            <a:xfrm>
              <a:off x="7970520" y="4629150"/>
              <a:ext cx="4244340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C" sz="1100" b="1" i="0">
                  <a:latin typeface="Cambria Math" panose="02040503050406030204" pitchFamily="18" charset="0"/>
                </a:rPr>
                <a:t>𝑴𝒆𝒅𝒊𝒂 𝒅𝒆 𝑳𝑶𝑪= </a:t>
              </a:r>
              <a:r>
                <a:rPr lang="es-EC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(𝚺(𝑳𝑶𝑪))/(</a:t>
              </a:r>
              <a:r>
                <a:rPr lang="es-EC" sz="1100" b="1" i="0">
                  <a:latin typeface="Cambria Math" panose="02040503050406030204" pitchFamily="18" charset="0"/>
                </a:rPr>
                <a:t>𝑵(𝑷𝒓𝒐𝒈𝒓𝒂𝒎𝒂𝒔))</a:t>
              </a:r>
              <a:endParaRPr lang="es-MX" sz="1100" b="1"/>
            </a:p>
          </xdr:txBody>
        </xdr:sp>
      </mc:Fallback>
    </mc:AlternateContent>
    <xdr:clientData/>
  </xdr:oneCellAnchor>
  <xdr:oneCellAnchor>
    <xdr:from>
      <xdr:col>5</xdr:col>
      <xdr:colOff>426720</xdr:colOff>
      <xdr:row>23</xdr:row>
      <xdr:rowOff>95250</xdr:rowOff>
    </xdr:from>
    <xdr:ext cx="3764280" cy="3524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94162A3E-F67C-4C3A-870F-96A07C791AB3}"/>
                </a:ext>
              </a:extLst>
            </xdr:cNvPr>
            <xdr:cNvSpPr txBox="1"/>
          </xdr:nvSpPr>
          <xdr:spPr>
            <a:xfrm>
              <a:off x="8641080" y="4126230"/>
              <a:ext cx="3764280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b="1" i="1">
                        <a:latin typeface="Cambria Math" panose="02040503050406030204" pitchFamily="18" charset="0"/>
                      </a:rPr>
                      <m:t>𝑴𝒆𝒅𝒊𝒂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𝑴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/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𝑳𝑶𝑪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EC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𝚺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𝑻𝒊𝒆𝒎𝒑𝒐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𝒅𝒆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𝒅𝒆𝒔𝒂𝒓𝒓𝒐𝒍𝒍𝒐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EC" sz="1100" b="1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𝚺</m:t>
                        </m:r>
                        <m:r>
                          <a:rPr lang="es-EC" sz="1100" b="1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s-EC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𝑳𝑶𝑪</m:t>
                        </m:r>
                        <m:r>
                          <a:rPr lang="es-EC" sz="1100" b="1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MX" sz="1100" b="1"/>
            </a:p>
          </xdr:txBody>
        </xdr:sp>
      </mc:Choice>
      <mc:Fallback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94162A3E-F67C-4C3A-870F-96A07C791AB3}"/>
                </a:ext>
              </a:extLst>
            </xdr:cNvPr>
            <xdr:cNvSpPr txBox="1"/>
          </xdr:nvSpPr>
          <xdr:spPr>
            <a:xfrm>
              <a:off x="8641080" y="4126230"/>
              <a:ext cx="3764280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C" sz="1100" b="1" i="0">
                  <a:latin typeface="Cambria Math" panose="02040503050406030204" pitchFamily="18" charset="0"/>
                </a:rPr>
                <a:t>𝑴𝒆𝒅𝒊𝒂 𝒅𝒆 𝑴/𝑳𝑶𝑪= </a:t>
              </a:r>
              <a:r>
                <a:rPr lang="es-EC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(𝚺(𝑻𝒊𝒆𝒎𝒑𝒐 𝒅𝒆 𝒅𝒆𝒔𝒂𝒓𝒓𝒐𝒍𝒍𝒐))/(</a:t>
              </a:r>
              <a:r>
                <a:rPr lang="es-EC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𝚺(</a:t>
              </a:r>
              <a:r>
                <a:rPr lang="es-EC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𝑳𝑶𝑪</a:t>
              </a:r>
              <a:r>
                <a:rPr lang="es-EC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s-EC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MX" sz="1100" b="1"/>
            </a:p>
          </xdr:txBody>
        </xdr:sp>
      </mc:Fallback>
    </mc:AlternateContent>
    <xdr:clientData/>
  </xdr:oneCellAnchor>
  <xdr:twoCellAnchor>
    <xdr:from>
      <xdr:col>1</xdr:col>
      <xdr:colOff>7620</xdr:colOff>
      <xdr:row>30</xdr:row>
      <xdr:rowOff>45720</xdr:rowOff>
    </xdr:from>
    <xdr:to>
      <xdr:col>2</xdr:col>
      <xdr:colOff>381000</xdr:colOff>
      <xdr:row>33</xdr:row>
      <xdr:rowOff>76200</xdr:rowOff>
    </xdr:to>
    <xdr:sp macro="" textlink="">
      <xdr:nvSpPr>
        <xdr:cNvPr id="6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B52676-7BDF-4648-9CC8-ECB9F595A5C1}"/>
            </a:ext>
          </a:extLst>
        </xdr:cNvPr>
        <xdr:cNvSpPr/>
      </xdr:nvSpPr>
      <xdr:spPr>
        <a:xfrm>
          <a:off x="800100" y="5303520"/>
          <a:ext cx="1478280" cy="55626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</a:t>
          </a:r>
          <a:r>
            <a:rPr lang="es-MX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Resumen</a:t>
          </a:r>
          <a:endParaRPr lang="es-MX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685800</xdr:colOff>
      <xdr:row>17</xdr:row>
      <xdr:rowOff>80010</xdr:rowOff>
    </xdr:from>
    <xdr:ext cx="3672840" cy="3215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E3355F6-6F86-4BAD-9381-BA214F7A7906}"/>
                </a:ext>
              </a:extLst>
            </xdr:cNvPr>
            <xdr:cNvSpPr txBox="1"/>
          </xdr:nvSpPr>
          <xdr:spPr>
            <a:xfrm>
              <a:off x="8900160" y="3059430"/>
              <a:ext cx="3672840" cy="3215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b="1" i="1">
                        <a:latin typeface="Cambria Math" panose="02040503050406030204" pitchFamily="18" charset="0"/>
                      </a:rPr>
                      <m:t>𝑹𝒂𝒏𝒈𝒐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𝒎𝒊𝒏𝒖𝒕𝒐𝒔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𝒙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𝑳𝑶𝑪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EC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𝑻𝒊𝒆𝒎𝒑𝒐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𝒅𝒆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𝒅𝒆𝒔𝒂𝒓𝒓𝒐𝒍𝒍𝒐</m:t>
                        </m:r>
                      </m:num>
                      <m:den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𝑳𝑶𝑪</m:t>
                        </m:r>
                      </m:den>
                    </m:f>
                  </m:oMath>
                </m:oMathPara>
              </a14:m>
              <a:endParaRPr lang="es-MX" sz="1100" b="1"/>
            </a:p>
          </xdr:txBody>
        </xdr:sp>
      </mc:Choice>
      <mc:Fallback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E3355F6-6F86-4BAD-9381-BA214F7A7906}"/>
                </a:ext>
              </a:extLst>
            </xdr:cNvPr>
            <xdr:cNvSpPr txBox="1"/>
          </xdr:nvSpPr>
          <xdr:spPr>
            <a:xfrm>
              <a:off x="8900160" y="3059430"/>
              <a:ext cx="3672840" cy="3215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C" sz="1100" b="1" i="0">
                  <a:latin typeface="Cambria Math" panose="02040503050406030204" pitchFamily="18" charset="0"/>
                </a:rPr>
                <a:t>𝑹𝒂𝒏𝒈𝒐 𝒅𝒆 𝒎𝒊𝒏𝒖𝒕𝒐𝒔 𝒙 𝑳𝑶𝑪=  (𝑻𝒊𝒆𝒎𝒑𝒐 𝒅𝒆 𝒅𝒆𝒔𝒂𝒓𝒓𝒐𝒍𝒍𝒐)/𝑳𝑶𝑪</a:t>
              </a:r>
              <a:endParaRPr lang="es-MX" sz="1100" b="1"/>
            </a:p>
          </xdr:txBody>
        </xdr:sp>
      </mc:Fallback>
    </mc:AlternateContent>
    <xdr:clientData/>
  </xdr:oneCellAnchor>
  <xdr:oneCellAnchor>
    <xdr:from>
      <xdr:col>6</xdr:col>
      <xdr:colOff>708660</xdr:colOff>
      <xdr:row>20</xdr:row>
      <xdr:rowOff>80010</xdr:rowOff>
    </xdr:from>
    <xdr:ext cx="4183380" cy="3524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3123723A-7659-4FA8-B6EF-31ABFE235F86}"/>
                </a:ext>
              </a:extLst>
            </xdr:cNvPr>
            <xdr:cNvSpPr txBox="1"/>
          </xdr:nvSpPr>
          <xdr:spPr>
            <a:xfrm>
              <a:off x="10195560" y="3562350"/>
              <a:ext cx="4183380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b="1" i="1">
                        <a:latin typeface="Cambria Math" panose="02040503050406030204" pitchFamily="18" charset="0"/>
                      </a:rPr>
                      <m:t>𝑴𝒆𝒅𝒊𝒂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𝒕𝒊𝒆𝒎𝒑𝒐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𝒅𝒆𝒔𝒂𝒓𝒓𝒐𝒍𝒍𝒐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EC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𝚺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𝑻𝒊𝒆𝒎𝒑𝒐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𝒅𝒆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𝒅𝒆𝒔𝒂𝒓𝒓𝒐𝒍𝒍𝒐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𝑵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𝑷𝒓𝒐𝒈𝒓𝒂𝒎𝒂𝒔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MX" sz="1100" b="1"/>
            </a:p>
          </xdr:txBody>
        </xdr:sp>
      </mc:Choice>
      <mc:Fallback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3123723A-7659-4FA8-B6EF-31ABFE235F86}"/>
                </a:ext>
              </a:extLst>
            </xdr:cNvPr>
            <xdr:cNvSpPr txBox="1"/>
          </xdr:nvSpPr>
          <xdr:spPr>
            <a:xfrm>
              <a:off x="10195560" y="3562350"/>
              <a:ext cx="4183380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C" sz="1100" b="1" i="0">
                  <a:latin typeface="Cambria Math" panose="02040503050406030204" pitchFamily="18" charset="0"/>
                </a:rPr>
                <a:t>𝑴𝒆𝒅𝒊𝒂 𝒅𝒆 𝒕𝒊𝒆𝒎𝒑𝒐 𝒅𝒆 𝒅𝒆𝒔𝒂𝒓𝒓𝒐𝒍𝒍𝒐= </a:t>
              </a:r>
              <a:r>
                <a:rPr lang="es-EC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(𝚺(𝑻𝒊𝒆𝒎𝒑𝒐 𝒅𝒆 𝒅𝒆𝒔𝒂𝒓𝒓𝒐𝒍𝒍𝒐))/(</a:t>
              </a:r>
              <a:r>
                <a:rPr lang="es-EC" sz="1100" b="1" i="0">
                  <a:latin typeface="Cambria Math" panose="02040503050406030204" pitchFamily="18" charset="0"/>
                </a:rPr>
                <a:t>𝑵(𝑷𝒓𝒐𝒈𝒓𝒂𝒎𝒂𝒔))</a:t>
              </a:r>
              <a:endParaRPr lang="es-MX" sz="1100" b="1"/>
            </a:p>
          </xdr:txBody>
        </xdr:sp>
      </mc:Fallback>
    </mc:AlternateContent>
    <xdr:clientData/>
  </xdr:oneCellAnchor>
  <xdr:oneCellAnchor>
    <xdr:from>
      <xdr:col>5</xdr:col>
      <xdr:colOff>3619500</xdr:colOff>
      <xdr:row>26</xdr:row>
      <xdr:rowOff>87630</xdr:rowOff>
    </xdr:from>
    <xdr:ext cx="4244340" cy="3524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57BDB129-4C40-403D-8DCD-BDD73437FB05}"/>
                </a:ext>
              </a:extLst>
            </xdr:cNvPr>
            <xdr:cNvSpPr txBox="1"/>
          </xdr:nvSpPr>
          <xdr:spPr>
            <a:xfrm>
              <a:off x="9265920" y="4621530"/>
              <a:ext cx="4244340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b="1" i="1">
                        <a:latin typeface="Cambria Math" panose="02040503050406030204" pitchFamily="18" charset="0"/>
                      </a:rPr>
                      <m:t>𝑴𝒆𝒅𝒊𝒂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𝑳𝑶𝑪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EC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𝚺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𝑳𝑶𝑪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𝑵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𝑷𝒓𝒐𝒈𝒓𝒂𝒎𝒂𝒔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MX" sz="1100" b="1"/>
            </a:p>
          </xdr:txBody>
        </xdr:sp>
      </mc:Choice>
      <mc:Fallback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57BDB129-4C40-403D-8DCD-BDD73437FB05}"/>
                </a:ext>
              </a:extLst>
            </xdr:cNvPr>
            <xdr:cNvSpPr txBox="1"/>
          </xdr:nvSpPr>
          <xdr:spPr>
            <a:xfrm>
              <a:off x="9265920" y="4621530"/>
              <a:ext cx="4244340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C" sz="1100" b="1" i="0">
                  <a:latin typeface="Cambria Math" panose="02040503050406030204" pitchFamily="18" charset="0"/>
                </a:rPr>
                <a:t>𝑴𝒆𝒅𝒊𝒂 𝒅𝒆 𝑳𝑶𝑪= </a:t>
              </a:r>
              <a:r>
                <a:rPr lang="es-EC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(𝚺(𝑳𝑶𝑪))/(</a:t>
              </a:r>
              <a:r>
                <a:rPr lang="es-EC" sz="1100" b="1" i="0">
                  <a:latin typeface="Cambria Math" panose="02040503050406030204" pitchFamily="18" charset="0"/>
                </a:rPr>
                <a:t>𝑵(𝑷𝒓𝒐𝒈𝒓𝒂𝒎𝒂𝒔))</a:t>
              </a:r>
              <a:endParaRPr lang="es-MX" sz="1100" b="1"/>
            </a:p>
          </xdr:txBody>
        </xdr:sp>
      </mc:Fallback>
    </mc:AlternateContent>
    <xdr:clientData/>
  </xdr:oneCellAnchor>
  <xdr:oneCellAnchor>
    <xdr:from>
      <xdr:col>6</xdr:col>
      <xdr:colOff>426720</xdr:colOff>
      <xdr:row>23</xdr:row>
      <xdr:rowOff>95250</xdr:rowOff>
    </xdr:from>
    <xdr:ext cx="3764280" cy="3524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2751D397-A5EB-42FA-AA37-57B150C5815B}"/>
                </a:ext>
              </a:extLst>
            </xdr:cNvPr>
            <xdr:cNvSpPr txBox="1"/>
          </xdr:nvSpPr>
          <xdr:spPr>
            <a:xfrm>
              <a:off x="8641080" y="4126230"/>
              <a:ext cx="3764280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b="1" i="1">
                        <a:latin typeface="Cambria Math" panose="02040503050406030204" pitchFamily="18" charset="0"/>
                      </a:rPr>
                      <m:t>𝑴𝒆𝒅𝒊𝒂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𝑴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/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𝑳𝑶𝑪</m:t>
                    </m:r>
                    <m:r>
                      <a:rPr lang="es-EC" sz="1100" b="1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EC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𝚺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𝑻𝒊𝒆𝒎𝒑𝒐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𝒅𝒆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𝒅𝒆𝒔𝒂𝒓𝒓𝒐𝒍𝒍𝒐</m:t>
                        </m:r>
                        <m:r>
                          <a:rPr lang="es-EC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EC" sz="1100" b="1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𝚺</m:t>
                        </m:r>
                        <m:r>
                          <a:rPr lang="es-EC" sz="1100" b="1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s-EC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𝑳𝑶𝑪</m:t>
                        </m:r>
                        <m:r>
                          <a:rPr lang="es-EC" sz="1100" b="1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MX" sz="1100" b="1"/>
            </a:p>
          </xdr:txBody>
        </xdr:sp>
      </mc:Choice>
      <mc:Fallback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2751D397-A5EB-42FA-AA37-57B150C5815B}"/>
                </a:ext>
              </a:extLst>
            </xdr:cNvPr>
            <xdr:cNvSpPr txBox="1"/>
          </xdr:nvSpPr>
          <xdr:spPr>
            <a:xfrm>
              <a:off x="8641080" y="4126230"/>
              <a:ext cx="3764280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C" sz="1100" b="1" i="0">
                  <a:latin typeface="Cambria Math" panose="02040503050406030204" pitchFamily="18" charset="0"/>
                </a:rPr>
                <a:t>𝑴𝒆𝒅𝒊𝒂 𝒅𝒆 𝑴/𝑳𝑶𝑪= </a:t>
              </a:r>
              <a:r>
                <a:rPr lang="es-EC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(𝚺(𝑻𝒊𝒆𝒎𝒑𝒐 𝒅𝒆 𝒅𝒆𝒔𝒂𝒓𝒓𝒐𝒍𝒍𝒐))/(</a:t>
              </a:r>
              <a:r>
                <a:rPr lang="es-EC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𝚺(</a:t>
              </a:r>
              <a:r>
                <a:rPr lang="es-EC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𝑳𝑶𝑪</a:t>
              </a:r>
              <a:r>
                <a:rPr lang="es-EC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s-EC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MX" sz="1100" b="1"/>
            </a:p>
          </xdr:txBody>
        </xdr:sp>
      </mc:Fallback>
    </mc:AlternateContent>
    <xdr:clientData/>
  </xdr:oneCellAnchor>
  <xdr:twoCellAnchor>
    <xdr:from>
      <xdr:col>1</xdr:col>
      <xdr:colOff>22860</xdr:colOff>
      <xdr:row>27</xdr:row>
      <xdr:rowOff>160020</xdr:rowOff>
    </xdr:from>
    <xdr:to>
      <xdr:col>2</xdr:col>
      <xdr:colOff>541020</xdr:colOff>
      <xdr:row>31</xdr:row>
      <xdr:rowOff>15240</xdr:rowOff>
    </xdr:to>
    <xdr:sp macro="" textlink="">
      <xdr:nvSpPr>
        <xdr:cNvPr id="6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621C33-B278-4440-A23E-796E2B3D2013}"/>
            </a:ext>
          </a:extLst>
        </xdr:cNvPr>
        <xdr:cNvSpPr/>
      </xdr:nvSpPr>
      <xdr:spPr>
        <a:xfrm>
          <a:off x="815340" y="4945380"/>
          <a:ext cx="1478280" cy="55626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</a:t>
          </a:r>
          <a:r>
            <a:rPr lang="es-MX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Resumen</a:t>
          </a:r>
          <a:endParaRPr lang="es-MX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373380</xdr:colOff>
      <xdr:row>1</xdr:row>
      <xdr:rowOff>144780</xdr:rowOff>
    </xdr:from>
    <xdr:to>
      <xdr:col>7</xdr:col>
      <xdr:colOff>586740</xdr:colOff>
      <xdr:row>5</xdr:row>
      <xdr:rowOff>7620</xdr:rowOff>
    </xdr:to>
    <xdr:sp macro="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2FD2A6-0D87-421C-9609-7A8C6A7D4EF7}"/>
            </a:ext>
          </a:extLst>
        </xdr:cNvPr>
        <xdr:cNvSpPr/>
      </xdr:nvSpPr>
      <xdr:spPr>
        <a:xfrm>
          <a:off x="8526780" y="312420"/>
          <a:ext cx="1478280" cy="55626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</a:t>
          </a:r>
          <a:r>
            <a:rPr lang="es-MX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Resumen</a:t>
          </a:r>
          <a:endParaRPr lang="es-MX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175260</xdr:colOff>
      <xdr:row>4</xdr:row>
      <xdr:rowOff>0</xdr:rowOff>
    </xdr:from>
    <xdr:to>
      <xdr:col>5</xdr:col>
      <xdr:colOff>281940</xdr:colOff>
      <xdr:row>6</xdr:row>
      <xdr:rowOff>83820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010F34-A342-4ECA-B979-F96045F2A2BF}"/>
            </a:ext>
          </a:extLst>
        </xdr:cNvPr>
        <xdr:cNvSpPr/>
      </xdr:nvSpPr>
      <xdr:spPr>
        <a:xfrm>
          <a:off x="7200900" y="944880"/>
          <a:ext cx="1478280" cy="55626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</a:t>
          </a:r>
          <a:r>
            <a:rPr lang="es-MX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Resumen</a:t>
          </a:r>
          <a:endParaRPr lang="es-MX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129540</xdr:colOff>
      <xdr:row>4</xdr:row>
      <xdr:rowOff>30480</xdr:rowOff>
    </xdr:from>
    <xdr:to>
      <xdr:col>12</xdr:col>
      <xdr:colOff>236220</xdr:colOff>
      <xdr:row>7</xdr:row>
      <xdr:rowOff>83820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CBFD87-66B1-4D1D-9C3D-B4775C5CF0AE}"/>
            </a:ext>
          </a:extLst>
        </xdr:cNvPr>
        <xdr:cNvSpPr/>
      </xdr:nvSpPr>
      <xdr:spPr>
        <a:xfrm>
          <a:off x="8046720" y="685800"/>
          <a:ext cx="1478280" cy="55626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</a:t>
          </a:r>
          <a:r>
            <a:rPr lang="es-MX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Resumen</a:t>
          </a:r>
          <a:endParaRPr lang="es-MX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2</xdr:row>
      <xdr:rowOff>53340</xdr:rowOff>
    </xdr:from>
    <xdr:to>
      <xdr:col>16</xdr:col>
      <xdr:colOff>182880</xdr:colOff>
      <xdr:row>6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6E6F3F-37EB-433D-A768-9EA55D0494CB}"/>
            </a:ext>
          </a:extLst>
        </xdr:cNvPr>
        <xdr:cNvSpPr/>
      </xdr:nvSpPr>
      <xdr:spPr>
        <a:xfrm>
          <a:off x="12565380" y="358140"/>
          <a:ext cx="1478280" cy="55626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</a:t>
          </a:r>
          <a:r>
            <a:rPr lang="es-MX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Resumen</a:t>
          </a:r>
          <a:endParaRPr lang="es-MX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8965</xdr:colOff>
      <xdr:row>1</xdr:row>
      <xdr:rowOff>125506</xdr:rowOff>
    </xdr:from>
    <xdr:to>
      <xdr:col>13</xdr:col>
      <xdr:colOff>617669</xdr:colOff>
      <xdr:row>4</xdr:row>
      <xdr:rowOff>152848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BA770C-9605-42AB-8EF4-D95FA439EFB8}"/>
            </a:ext>
          </a:extLst>
        </xdr:cNvPr>
        <xdr:cNvSpPr/>
      </xdr:nvSpPr>
      <xdr:spPr>
        <a:xfrm>
          <a:off x="12048565" y="295835"/>
          <a:ext cx="1478280" cy="55626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</a:t>
          </a:r>
          <a:r>
            <a:rPr lang="es-MX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Resumen</a:t>
          </a:r>
          <a:endParaRPr lang="es-MX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259080</xdr:colOff>
      <xdr:row>22</xdr:row>
      <xdr:rowOff>106680</xdr:rowOff>
    </xdr:from>
    <xdr:to>
      <xdr:col>10</xdr:col>
      <xdr:colOff>944880</xdr:colOff>
      <xdr:row>25</xdr:row>
      <xdr:rowOff>160020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8F63A4-D79F-1B7F-0C93-60D3382B741F}"/>
            </a:ext>
          </a:extLst>
        </xdr:cNvPr>
        <xdr:cNvSpPr/>
      </xdr:nvSpPr>
      <xdr:spPr>
        <a:xfrm>
          <a:off x="8267700" y="4396740"/>
          <a:ext cx="1478280" cy="55626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</a:t>
          </a:r>
          <a:r>
            <a:rPr lang="es-MX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Resumen</a:t>
          </a:r>
          <a:endParaRPr lang="es-MX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1097280</xdr:colOff>
      <xdr:row>22</xdr:row>
      <xdr:rowOff>121920</xdr:rowOff>
    </xdr:from>
    <xdr:to>
      <xdr:col>12</xdr:col>
      <xdr:colOff>449580</xdr:colOff>
      <xdr:row>26</xdr:row>
      <xdr:rowOff>7620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24044D4-6105-4413-8AEE-1248B5964F6E}"/>
            </a:ext>
          </a:extLst>
        </xdr:cNvPr>
        <xdr:cNvSpPr/>
      </xdr:nvSpPr>
      <xdr:spPr>
        <a:xfrm>
          <a:off x="9898380" y="4411980"/>
          <a:ext cx="1478280" cy="55626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Cuaderno Defectos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167640</xdr:colOff>
      <xdr:row>7</xdr:row>
      <xdr:rowOff>22860</xdr:rowOff>
    </xdr:from>
    <xdr:to>
      <xdr:col>15</xdr:col>
      <xdr:colOff>60960</xdr:colOff>
      <xdr:row>11</xdr:row>
      <xdr:rowOff>160020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1B6D74-6D15-4A45-BE41-1D68A9612D67}"/>
            </a:ext>
          </a:extLst>
        </xdr:cNvPr>
        <xdr:cNvSpPr/>
      </xdr:nvSpPr>
      <xdr:spPr>
        <a:xfrm>
          <a:off x="10949940" y="1219200"/>
          <a:ext cx="1478280" cy="81534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 6.4-6.5 Estimación tamaño</a:t>
          </a:r>
        </a:p>
      </xdr:txBody>
    </xdr:sp>
    <xdr:clientData/>
  </xdr:twoCellAnchor>
  <xdr:twoCellAnchor>
    <xdr:from>
      <xdr:col>13</xdr:col>
      <xdr:colOff>182880</xdr:colOff>
      <xdr:row>1</xdr:row>
      <xdr:rowOff>60960</xdr:rowOff>
    </xdr:from>
    <xdr:to>
      <xdr:col>15</xdr:col>
      <xdr:colOff>76200</xdr:colOff>
      <xdr:row>6</xdr:row>
      <xdr:rowOff>15240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794E2A-F2DC-46D3-815B-684E07FA9006}"/>
            </a:ext>
          </a:extLst>
        </xdr:cNvPr>
        <xdr:cNvSpPr/>
      </xdr:nvSpPr>
      <xdr:spPr>
        <a:xfrm>
          <a:off x="10965180" y="228600"/>
          <a:ext cx="1478280" cy="81534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 6.2 Tiempos desarrollo</a:t>
          </a:r>
        </a:p>
      </xdr:txBody>
    </xdr:sp>
    <xdr:clientData/>
  </xdr:twoCellAnchor>
  <xdr:twoCellAnchor>
    <xdr:from>
      <xdr:col>13</xdr:col>
      <xdr:colOff>175260</xdr:colOff>
      <xdr:row>12</xdr:row>
      <xdr:rowOff>160020</xdr:rowOff>
    </xdr:from>
    <xdr:to>
      <xdr:col>15</xdr:col>
      <xdr:colOff>68580</xdr:colOff>
      <xdr:row>17</xdr:row>
      <xdr:rowOff>121920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A8336EE-3A10-40F6-AFE3-1E47BED93EDF}"/>
            </a:ext>
          </a:extLst>
        </xdr:cNvPr>
        <xdr:cNvSpPr/>
      </xdr:nvSpPr>
      <xdr:spPr>
        <a:xfrm>
          <a:off x="10957560" y="2209800"/>
          <a:ext cx="1478280" cy="81534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 6.6 Cuaderno Regis Trabajo</a:t>
          </a:r>
        </a:p>
      </xdr:txBody>
    </xdr:sp>
    <xdr:clientData/>
  </xdr:twoCellAnchor>
  <xdr:twoCellAnchor>
    <xdr:from>
      <xdr:col>13</xdr:col>
      <xdr:colOff>144780</xdr:colOff>
      <xdr:row>18</xdr:row>
      <xdr:rowOff>91440</xdr:rowOff>
    </xdr:from>
    <xdr:to>
      <xdr:col>15</xdr:col>
      <xdr:colOff>38100</xdr:colOff>
      <xdr:row>23</xdr:row>
      <xdr:rowOff>68580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806D224-30EC-4448-BB5E-5DB091D12DEA}"/>
            </a:ext>
          </a:extLst>
        </xdr:cNvPr>
        <xdr:cNvSpPr/>
      </xdr:nvSpPr>
      <xdr:spPr>
        <a:xfrm>
          <a:off x="10927080" y="3169920"/>
          <a:ext cx="1478280" cy="81534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Cuaderno Defectos</a:t>
          </a:r>
        </a:p>
      </xdr:txBody>
    </xdr:sp>
    <xdr:clientData/>
  </xdr:twoCellAnchor>
  <xdr:twoCellAnchor>
    <xdr:from>
      <xdr:col>15</xdr:col>
      <xdr:colOff>228600</xdr:colOff>
      <xdr:row>1</xdr:row>
      <xdr:rowOff>76200</xdr:rowOff>
    </xdr:from>
    <xdr:to>
      <xdr:col>17</xdr:col>
      <xdr:colOff>121920</xdr:colOff>
      <xdr:row>6</xdr:row>
      <xdr:rowOff>30480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213B65C-1E4A-435F-996D-8B63A6AC7402}"/>
            </a:ext>
          </a:extLst>
        </xdr:cNvPr>
        <xdr:cNvSpPr/>
      </xdr:nvSpPr>
      <xdr:spPr>
        <a:xfrm>
          <a:off x="12595860" y="243840"/>
          <a:ext cx="1478280" cy="81534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 6.3 Rasgo Tamaños</a:t>
          </a:r>
        </a:p>
      </xdr:txBody>
    </xdr:sp>
    <xdr:clientData/>
  </xdr:twoCellAnchor>
  <xdr:twoCellAnchor>
    <xdr:from>
      <xdr:col>15</xdr:col>
      <xdr:colOff>182880</xdr:colOff>
      <xdr:row>7</xdr:row>
      <xdr:rowOff>53340</xdr:rowOff>
    </xdr:from>
    <xdr:to>
      <xdr:col>17</xdr:col>
      <xdr:colOff>76200</xdr:colOff>
      <xdr:row>12</xdr:row>
      <xdr:rowOff>15240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650B254-3E39-422E-B9B9-0A58B7C201CA}"/>
            </a:ext>
          </a:extLst>
        </xdr:cNvPr>
        <xdr:cNvSpPr/>
      </xdr:nvSpPr>
      <xdr:spPr>
        <a:xfrm>
          <a:off x="12550140" y="1249680"/>
          <a:ext cx="1478280" cy="81534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Diccionario</a:t>
          </a:r>
        </a:p>
      </xdr:txBody>
    </xdr:sp>
    <xdr:clientData/>
  </xdr:twoCellAnchor>
  <xdr:twoCellAnchor>
    <xdr:from>
      <xdr:col>15</xdr:col>
      <xdr:colOff>175260</xdr:colOff>
      <xdr:row>13</xdr:row>
      <xdr:rowOff>38100</xdr:rowOff>
    </xdr:from>
    <xdr:to>
      <xdr:col>17</xdr:col>
      <xdr:colOff>68580</xdr:colOff>
      <xdr:row>18</xdr:row>
      <xdr:rowOff>0</xdr:rowOff>
    </xdr:to>
    <xdr:sp macro="" textlink="">
      <xdr:nvSpPr>
        <xdr:cNvPr id="8" name="Rectángulo: esquinas redondeada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63B0E66-ACCD-45F1-BD12-99A3D9524442}"/>
            </a:ext>
          </a:extLst>
        </xdr:cNvPr>
        <xdr:cNvSpPr/>
      </xdr:nvSpPr>
      <xdr:spPr>
        <a:xfrm>
          <a:off x="12542520" y="2263140"/>
          <a:ext cx="1478280" cy="81534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 6.7 Cuaderno</a:t>
          </a:r>
          <a:r>
            <a:rPr lang="es-MX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Trabajo</a:t>
          </a:r>
          <a:endParaRPr lang="es-MX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182880</xdr:colOff>
      <xdr:row>18</xdr:row>
      <xdr:rowOff>137160</xdr:rowOff>
    </xdr:from>
    <xdr:to>
      <xdr:col>17</xdr:col>
      <xdr:colOff>76200</xdr:colOff>
      <xdr:row>23</xdr:row>
      <xdr:rowOff>114300</xdr:rowOff>
    </xdr:to>
    <xdr:sp macro="" textlink="">
      <xdr:nvSpPr>
        <xdr:cNvPr id="9" name="Rectángulo: esquinas redondeadas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FAD9721-7042-4FC7-BCC2-E37EA34D3CC7}"/>
            </a:ext>
          </a:extLst>
        </xdr:cNvPr>
        <xdr:cNvSpPr/>
      </xdr:nvSpPr>
      <xdr:spPr>
        <a:xfrm>
          <a:off x="12550140" y="3215640"/>
          <a:ext cx="1478280" cy="815340"/>
        </a:xfrm>
        <a:prstGeom prst="roundRect">
          <a:avLst/>
        </a:prstGeom>
        <a:solidFill>
          <a:srgbClr val="92D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Tabla 15.1 Cálculo</a:t>
          </a:r>
          <a:r>
            <a:rPr lang="es-MX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Defectos</a:t>
          </a:r>
          <a:endParaRPr lang="es-MX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D75B3-940F-46D3-9D17-2DF92706F3A1}">
  <dimension ref="B1:M29"/>
  <sheetViews>
    <sheetView topLeftCell="A7" workbookViewId="0"/>
  </sheetViews>
  <sheetFormatPr baseColWidth="10" defaultRowHeight="13.8" customHeight="1"/>
  <cols>
    <col min="2" max="2" width="16.109375" customWidth="1"/>
    <col min="3" max="3" width="44.5546875" customWidth="1"/>
    <col min="4" max="4" width="15.109375" customWidth="1"/>
    <col min="5" max="5" width="32.44140625" customWidth="1"/>
    <col min="7" max="7" width="10.21875" customWidth="1"/>
    <col min="8" max="8" width="18" customWidth="1"/>
  </cols>
  <sheetData>
    <row r="1" spans="2:13" ht="13.8" customHeight="1">
      <c r="E1" s="162"/>
      <c r="F1" s="157"/>
      <c r="G1" s="157"/>
      <c r="H1" s="157"/>
      <c r="I1" s="157"/>
      <c r="J1" s="157"/>
      <c r="K1" s="157"/>
      <c r="L1" s="157"/>
      <c r="M1" s="157"/>
    </row>
    <row r="2" spans="2:13" ht="13.8" customHeight="1">
      <c r="B2" s="153" t="s">
        <v>128</v>
      </c>
      <c r="C2" s="154"/>
      <c r="D2" s="154"/>
      <c r="E2" s="161"/>
      <c r="F2" s="160"/>
      <c r="G2" s="181" t="s">
        <v>63</v>
      </c>
      <c r="H2" s="180" t="s">
        <v>140</v>
      </c>
      <c r="L2" s="158"/>
      <c r="M2" s="158"/>
    </row>
    <row r="3" spans="2:13" ht="13.8" customHeight="1">
      <c r="B3" s="155"/>
      <c r="C3" s="155"/>
      <c r="D3" s="155"/>
      <c r="E3" s="155"/>
      <c r="F3" s="160"/>
      <c r="G3" s="171">
        <v>1</v>
      </c>
      <c r="H3" s="172" t="s">
        <v>141</v>
      </c>
      <c r="L3" s="158"/>
      <c r="M3" s="158"/>
    </row>
    <row r="4" spans="2:13" ht="13.8" customHeight="1">
      <c r="B4" s="88" t="s">
        <v>106</v>
      </c>
      <c r="C4" s="89" t="s">
        <v>129</v>
      </c>
      <c r="D4" s="86" t="s">
        <v>105</v>
      </c>
      <c r="E4" s="95" t="s">
        <v>104</v>
      </c>
      <c r="F4" s="159"/>
      <c r="G4" s="173">
        <v>2</v>
      </c>
      <c r="H4" s="174" t="s">
        <v>142</v>
      </c>
      <c r="L4" s="157"/>
      <c r="M4" s="157"/>
    </row>
    <row r="5" spans="2:13" ht="13.8" customHeight="1">
      <c r="B5" s="88" t="s">
        <v>103</v>
      </c>
      <c r="C5" s="94" t="s">
        <v>130</v>
      </c>
      <c r="D5" s="86" t="s">
        <v>102</v>
      </c>
      <c r="E5" s="95">
        <v>1</v>
      </c>
      <c r="F5" s="159"/>
      <c r="G5" s="173">
        <v>3</v>
      </c>
      <c r="H5" s="174" t="s">
        <v>143</v>
      </c>
      <c r="L5" s="157"/>
      <c r="M5" s="157"/>
    </row>
    <row r="6" spans="2:13" ht="13.8" customHeight="1">
      <c r="B6" s="88" t="s">
        <v>2</v>
      </c>
      <c r="C6" s="94" t="s">
        <v>101</v>
      </c>
      <c r="D6" s="86" t="s">
        <v>100</v>
      </c>
      <c r="E6" s="95" t="s">
        <v>131</v>
      </c>
      <c r="F6" s="159"/>
      <c r="G6" s="173">
        <v>4</v>
      </c>
      <c r="H6" s="175" t="s">
        <v>144</v>
      </c>
      <c r="L6" s="157"/>
      <c r="M6" s="157"/>
    </row>
    <row r="7" spans="2:13" ht="13.8" customHeight="1">
      <c r="E7" s="156"/>
      <c r="F7" s="159"/>
      <c r="G7" s="173">
        <v>5</v>
      </c>
      <c r="H7" s="176" t="s">
        <v>145</v>
      </c>
      <c r="L7" s="157"/>
      <c r="M7" s="157"/>
    </row>
    <row r="8" spans="2:13" ht="13.8" customHeight="1">
      <c r="B8" s="153" t="s">
        <v>132</v>
      </c>
      <c r="C8" s="154"/>
      <c r="D8" s="154"/>
      <c r="E8" s="154"/>
      <c r="F8" s="160"/>
      <c r="G8" s="173">
        <v>6</v>
      </c>
      <c r="H8" s="174" t="s">
        <v>146</v>
      </c>
      <c r="L8" s="158"/>
      <c r="M8" s="158"/>
    </row>
    <row r="9" spans="2:13" ht="13.8" customHeight="1">
      <c r="G9" s="173">
        <v>7</v>
      </c>
      <c r="H9" s="174" t="s">
        <v>147</v>
      </c>
    </row>
    <row r="10" spans="2:13" ht="13.8" customHeight="1">
      <c r="B10" s="145" t="s">
        <v>63</v>
      </c>
      <c r="C10" s="145" t="s">
        <v>109</v>
      </c>
      <c r="D10" s="145" t="s">
        <v>110</v>
      </c>
      <c r="E10" s="145" t="s">
        <v>98</v>
      </c>
      <c r="G10" s="173">
        <v>8</v>
      </c>
      <c r="H10" s="174" t="s">
        <v>148</v>
      </c>
    </row>
    <row r="11" spans="2:13" ht="13.8" customHeight="1">
      <c r="B11" s="146" t="s">
        <v>133</v>
      </c>
      <c r="C11" s="147"/>
      <c r="D11" s="147"/>
      <c r="E11" s="148"/>
      <c r="G11" s="173">
        <v>9</v>
      </c>
      <c r="H11" s="174" t="s">
        <v>149</v>
      </c>
    </row>
    <row r="12" spans="2:13" ht="13.8" customHeight="1">
      <c r="B12" s="149">
        <v>1</v>
      </c>
      <c r="C12" s="149">
        <v>92</v>
      </c>
      <c r="D12" s="149">
        <v>132</v>
      </c>
      <c r="E12" s="164">
        <f>C12/D12</f>
        <v>0.69696969696969702</v>
      </c>
      <c r="G12" s="173">
        <v>10</v>
      </c>
      <c r="H12" s="174" t="s">
        <v>150</v>
      </c>
    </row>
    <row r="13" spans="2:13" ht="13.8" customHeight="1">
      <c r="B13" s="149">
        <v>2</v>
      </c>
      <c r="C13" s="149">
        <v>175</v>
      </c>
      <c r="D13" s="149">
        <v>203</v>
      </c>
      <c r="E13" s="150">
        <f>C13/D13</f>
        <v>0.86206896551724133</v>
      </c>
      <c r="G13" s="173">
        <v>11</v>
      </c>
      <c r="H13" s="174" t="s">
        <v>151</v>
      </c>
    </row>
    <row r="14" spans="2:13" ht="13.8" customHeight="1">
      <c r="B14" s="151" t="s">
        <v>134</v>
      </c>
      <c r="C14" s="147"/>
      <c r="D14" s="147"/>
      <c r="E14" s="148"/>
      <c r="G14" s="177">
        <v>12</v>
      </c>
      <c r="H14" s="178" t="s">
        <v>152</v>
      </c>
    </row>
    <row r="15" spans="2:13" ht="13.8" customHeight="1">
      <c r="B15" s="149">
        <v>3</v>
      </c>
      <c r="C15" s="149">
        <v>40</v>
      </c>
      <c r="D15" s="149">
        <v>52</v>
      </c>
      <c r="E15" s="150">
        <f>C15/D15</f>
        <v>0.76923076923076927</v>
      </c>
    </row>
    <row r="16" spans="2:13" ht="13.8" customHeight="1">
      <c r="B16" s="163" t="s">
        <v>138</v>
      </c>
      <c r="C16" s="147"/>
      <c r="D16" s="147"/>
      <c r="E16" s="148"/>
    </row>
    <row r="17" spans="2:7" ht="13.8" customHeight="1">
      <c r="B17" s="149">
        <v>4</v>
      </c>
      <c r="C17" s="149">
        <v>23</v>
      </c>
      <c r="D17" s="149">
        <v>49</v>
      </c>
      <c r="E17" s="150">
        <f t="shared" ref="E17:E18" si="0">C17/D17</f>
        <v>0.46938775510204084</v>
      </c>
      <c r="G17" s="179" t="s">
        <v>153</v>
      </c>
    </row>
    <row r="18" spans="2:7" ht="13.8" customHeight="1">
      <c r="B18" s="149">
        <v>5</v>
      </c>
      <c r="C18" s="149">
        <v>40</v>
      </c>
      <c r="D18" s="149">
        <v>28</v>
      </c>
      <c r="E18" s="164">
        <f t="shared" si="0"/>
        <v>1.4285714285714286</v>
      </c>
    </row>
    <row r="19" spans="2:7" ht="13.8" customHeight="1">
      <c r="B19" s="165" t="s">
        <v>139</v>
      </c>
      <c r="C19" s="166"/>
      <c r="D19" s="166"/>
      <c r="E19" s="167"/>
    </row>
    <row r="20" spans="2:7" ht="13.8" customHeight="1">
      <c r="B20" s="149">
        <v>6</v>
      </c>
      <c r="C20" s="149">
        <v>26</v>
      </c>
      <c r="D20" s="149">
        <v>63</v>
      </c>
      <c r="E20" s="164">
        <f t="shared" ref="E20" si="1">C20/D20</f>
        <v>0.41269841269841268</v>
      </c>
    </row>
    <row r="21" spans="2:7" ht="13.8" customHeight="1">
      <c r="B21" s="168" t="s">
        <v>135</v>
      </c>
      <c r="C21" s="169"/>
      <c r="D21" s="169"/>
      <c r="E21" s="170"/>
    </row>
    <row r="22" spans="2:7" ht="13.8" customHeight="1">
      <c r="B22" s="149">
        <v>7</v>
      </c>
      <c r="C22" s="149">
        <v>162</v>
      </c>
      <c r="D22" s="149">
        <v>173</v>
      </c>
      <c r="E22" s="164">
        <f t="shared" ref="E22:E27" si="2">C22/D22</f>
        <v>0.93641618497109824</v>
      </c>
    </row>
    <row r="23" spans="2:7" ht="13.8" customHeight="1">
      <c r="B23" s="149">
        <v>8</v>
      </c>
      <c r="C23" s="149">
        <v>32</v>
      </c>
      <c r="D23" s="149">
        <v>32</v>
      </c>
      <c r="E23" s="164">
        <f t="shared" si="2"/>
        <v>1</v>
      </c>
    </row>
    <row r="24" spans="2:7" ht="13.8" customHeight="1">
      <c r="B24" s="149">
        <v>9</v>
      </c>
      <c r="C24" s="149">
        <v>14</v>
      </c>
      <c r="D24" s="149">
        <v>12</v>
      </c>
      <c r="E24" s="164">
        <f t="shared" si="2"/>
        <v>1.1666666666666667</v>
      </c>
    </row>
    <row r="25" spans="2:7" ht="13.8" customHeight="1">
      <c r="B25" s="149">
        <v>10</v>
      </c>
      <c r="C25" s="149">
        <v>24</v>
      </c>
      <c r="D25" s="149">
        <v>29</v>
      </c>
      <c r="E25" s="164">
        <f t="shared" si="2"/>
        <v>0.82758620689655171</v>
      </c>
    </row>
    <row r="26" spans="2:7" ht="13.8" customHeight="1">
      <c r="B26" s="149">
        <v>11</v>
      </c>
      <c r="C26" s="149">
        <v>23</v>
      </c>
      <c r="D26" s="149">
        <v>26</v>
      </c>
      <c r="E26" s="164">
        <f t="shared" si="2"/>
        <v>0.88461538461538458</v>
      </c>
    </row>
    <row r="27" spans="2:7" ht="13.8" customHeight="1">
      <c r="B27" s="149">
        <v>12</v>
      </c>
      <c r="C27" s="149">
        <v>5</v>
      </c>
      <c r="D27" s="149">
        <v>4</v>
      </c>
      <c r="E27" s="149">
        <f t="shared" si="2"/>
        <v>1.25</v>
      </c>
    </row>
    <row r="28" spans="2:7" ht="13.8" customHeight="1">
      <c r="B28" s="152" t="s">
        <v>136</v>
      </c>
      <c r="C28" s="149">
        <f>SUM(C12,C13,C15,C17,C18,C20,C22,C23,C24,C25,C26,C27)</f>
        <v>656</v>
      </c>
      <c r="D28" s="149">
        <f>SUM(D12,D13,D15,D17,D18,D20,D22,D23,D24,D25,D26,D27)</f>
        <v>803</v>
      </c>
      <c r="E28" s="150"/>
    </row>
    <row r="29" spans="2:7" ht="13.8" customHeight="1">
      <c r="B29" s="152" t="s">
        <v>137</v>
      </c>
      <c r="C29" s="164">
        <f>AVERAGE(C12,C13,C15,C17,C18,C20,C22,C23,C24,C25,C26,C27)</f>
        <v>54.666666666666664</v>
      </c>
      <c r="D29" s="164">
        <f>AVERAGE(D12,D13,D15,D17,D18,D20,D22,D23,D24,D25,D26,D27)</f>
        <v>66.916666666666671</v>
      </c>
      <c r="E29" s="150">
        <f>C28/D28</f>
        <v>0.81693648816936493</v>
      </c>
    </row>
  </sheetData>
  <mergeCells count="7">
    <mergeCell ref="B19:E19"/>
    <mergeCell ref="B21:E21"/>
    <mergeCell ref="B11:E11"/>
    <mergeCell ref="B14:E14"/>
    <mergeCell ref="B16:E16"/>
    <mergeCell ref="B2:E2"/>
    <mergeCell ref="B8:E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C3557-FE33-45D2-B2A7-7065524C5D3B}">
  <dimension ref="B2:M36"/>
  <sheetViews>
    <sheetView topLeftCell="A4" workbookViewId="0"/>
  </sheetViews>
  <sheetFormatPr baseColWidth="10" defaultRowHeight="13.8" customHeight="1"/>
  <cols>
    <col min="2" max="2" width="14" customWidth="1"/>
    <col min="3" max="3" width="26.109375" customWidth="1"/>
    <col min="4" max="4" width="11.109375" customWidth="1"/>
    <col min="5" max="5" width="19.5546875" customWidth="1"/>
    <col min="6" max="6" width="56" customWidth="1"/>
    <col min="7" max="7" width="11.109375" customWidth="1"/>
    <col min="8" max="8" width="12.5546875" customWidth="1"/>
    <col min="9" max="9" width="20.6640625" customWidth="1"/>
  </cols>
  <sheetData>
    <row r="2" spans="2:13" ht="13.8" customHeight="1">
      <c r="B2" s="195" t="s">
        <v>128</v>
      </c>
      <c r="C2" s="196"/>
      <c r="D2" s="196"/>
      <c r="E2" s="196"/>
      <c r="F2" s="196"/>
      <c r="H2" s="181" t="s">
        <v>63</v>
      </c>
      <c r="I2" s="180" t="s">
        <v>140</v>
      </c>
      <c r="J2" s="93"/>
      <c r="L2" s="93"/>
      <c r="M2" s="93"/>
    </row>
    <row r="3" spans="2:13" ht="13.8" customHeight="1">
      <c r="B3" s="197"/>
      <c r="C3" s="197"/>
      <c r="D3" s="197"/>
      <c r="E3" s="200"/>
      <c r="F3" s="201"/>
      <c r="H3" s="171">
        <v>1</v>
      </c>
      <c r="I3" s="172" t="s">
        <v>141</v>
      </c>
      <c r="J3" s="93"/>
      <c r="L3" s="93"/>
      <c r="M3" s="93"/>
    </row>
    <row r="4" spans="2:13" ht="13.8" customHeight="1">
      <c r="B4" s="86" t="s">
        <v>106</v>
      </c>
      <c r="C4" s="210" t="s">
        <v>129</v>
      </c>
      <c r="D4" s="211"/>
      <c r="E4" s="198" t="s">
        <v>105</v>
      </c>
      <c r="F4" s="199" t="s">
        <v>104</v>
      </c>
      <c r="H4" s="173">
        <v>2</v>
      </c>
      <c r="I4" s="174" t="s">
        <v>142</v>
      </c>
      <c r="J4" s="93"/>
      <c r="L4" s="93"/>
      <c r="M4" s="93"/>
    </row>
    <row r="5" spans="2:13" ht="13.8" customHeight="1">
      <c r="B5" s="86" t="s">
        <v>103</v>
      </c>
      <c r="C5" s="210" t="s">
        <v>130</v>
      </c>
      <c r="D5" s="211"/>
      <c r="E5" s="86" t="s">
        <v>102</v>
      </c>
      <c r="F5" s="94">
        <v>1</v>
      </c>
      <c r="H5" s="173">
        <v>3</v>
      </c>
      <c r="I5" s="174" t="s">
        <v>143</v>
      </c>
      <c r="J5" s="93"/>
      <c r="L5" s="93"/>
      <c r="M5" s="93"/>
    </row>
    <row r="6" spans="2:13" ht="13.8" customHeight="1">
      <c r="B6" s="86" t="s">
        <v>2</v>
      </c>
      <c r="C6" s="210" t="s">
        <v>101</v>
      </c>
      <c r="D6" s="211"/>
      <c r="E6" s="86" t="s">
        <v>100</v>
      </c>
      <c r="F6" s="94" t="s">
        <v>131</v>
      </c>
      <c r="H6" s="173">
        <v>4</v>
      </c>
      <c r="I6" s="174" t="s">
        <v>144</v>
      </c>
      <c r="J6" s="93"/>
      <c r="L6" s="93"/>
      <c r="M6" s="93"/>
    </row>
    <row r="7" spans="2:13" ht="13.8" customHeight="1">
      <c r="B7" s="93"/>
      <c r="C7" s="93"/>
      <c r="D7" s="93"/>
      <c r="E7" s="156"/>
      <c r="F7" s="159"/>
      <c r="H7" s="173">
        <v>5</v>
      </c>
      <c r="I7" s="174" t="s">
        <v>145</v>
      </c>
      <c r="J7" s="93"/>
      <c r="L7" s="93"/>
      <c r="M7" s="93"/>
    </row>
    <row r="8" spans="2:13" ht="13.8" customHeight="1">
      <c r="B8" s="195" t="s">
        <v>132</v>
      </c>
      <c r="C8" s="196"/>
      <c r="D8" s="196"/>
      <c r="E8" s="196"/>
      <c r="F8" s="196"/>
      <c r="H8" s="173">
        <v>6</v>
      </c>
      <c r="I8" s="174" t="s">
        <v>146</v>
      </c>
      <c r="J8" s="93"/>
      <c r="L8" s="93"/>
      <c r="M8" s="93"/>
    </row>
    <row r="9" spans="2:13" ht="13.8" customHeight="1">
      <c r="B9" s="93"/>
      <c r="C9" s="93"/>
      <c r="D9" s="93"/>
      <c r="E9" s="93"/>
      <c r="F9" s="93"/>
      <c r="H9" s="173">
        <v>7</v>
      </c>
      <c r="I9" s="174" t="s">
        <v>147</v>
      </c>
      <c r="J9" s="93"/>
      <c r="L9" s="93"/>
      <c r="M9" s="93"/>
    </row>
    <row r="10" spans="2:13" ht="13.8" customHeight="1">
      <c r="B10" s="145" t="s">
        <v>63</v>
      </c>
      <c r="C10" s="145" t="s">
        <v>109</v>
      </c>
      <c r="D10" s="145" t="s">
        <v>110</v>
      </c>
      <c r="E10" s="145" t="s">
        <v>98</v>
      </c>
      <c r="F10" s="192" t="s">
        <v>154</v>
      </c>
      <c r="H10" s="173">
        <v>8</v>
      </c>
      <c r="I10" s="174" t="s">
        <v>148</v>
      </c>
      <c r="J10" s="93"/>
      <c r="L10" s="93"/>
      <c r="M10" s="93"/>
    </row>
    <row r="11" spans="2:13" ht="13.8" customHeight="1">
      <c r="B11" s="182" t="s">
        <v>133</v>
      </c>
      <c r="C11" s="183"/>
      <c r="D11" s="183"/>
      <c r="E11" s="183"/>
      <c r="F11" s="183"/>
      <c r="H11" s="173">
        <v>9</v>
      </c>
      <c r="I11" s="174" t="s">
        <v>149</v>
      </c>
      <c r="J11" s="93"/>
      <c r="L11" s="93"/>
      <c r="M11" s="93"/>
    </row>
    <row r="12" spans="2:13" ht="18">
      <c r="B12" s="149">
        <v>1</v>
      </c>
      <c r="C12" s="149">
        <v>92</v>
      </c>
      <c r="D12" s="149">
        <v>132</v>
      </c>
      <c r="E12" s="164">
        <f>C12/D12</f>
        <v>0.69696969696969702</v>
      </c>
      <c r="F12" s="193" t="s">
        <v>166</v>
      </c>
      <c r="H12" s="173">
        <v>10</v>
      </c>
      <c r="I12" s="174" t="s">
        <v>150</v>
      </c>
      <c r="J12" s="93"/>
      <c r="L12" s="93"/>
      <c r="M12" s="93"/>
    </row>
    <row r="13" spans="2:13" ht="13.8" customHeight="1">
      <c r="B13" s="149">
        <v>2</v>
      </c>
      <c r="C13" s="149">
        <v>175</v>
      </c>
      <c r="D13" s="149">
        <v>203</v>
      </c>
      <c r="E13" s="150">
        <f>C13/D13</f>
        <v>0.86206896551724133</v>
      </c>
      <c r="F13" s="194" t="s">
        <v>155</v>
      </c>
      <c r="H13" s="173">
        <v>11</v>
      </c>
      <c r="I13" s="174" t="s">
        <v>151</v>
      </c>
      <c r="J13" s="93"/>
      <c r="L13" s="93"/>
      <c r="M13" s="93"/>
    </row>
    <row r="14" spans="2:13" ht="13.8" customHeight="1">
      <c r="B14" s="151" t="s">
        <v>134</v>
      </c>
      <c r="C14" s="184"/>
      <c r="D14" s="184"/>
      <c r="E14" s="184"/>
      <c r="F14" s="185"/>
      <c r="H14" s="177">
        <v>12</v>
      </c>
      <c r="I14" s="178" t="s">
        <v>152</v>
      </c>
      <c r="J14" s="93"/>
      <c r="L14" s="93"/>
      <c r="M14" s="93"/>
    </row>
    <row r="15" spans="2:13" ht="13.8" customHeight="1">
      <c r="B15" s="149">
        <v>3</v>
      </c>
      <c r="C15" s="149">
        <v>40</v>
      </c>
      <c r="D15" s="149">
        <v>52</v>
      </c>
      <c r="E15" s="150">
        <f>C15/D15</f>
        <v>0.76923076923076927</v>
      </c>
      <c r="F15" s="194" t="s">
        <v>156</v>
      </c>
      <c r="H15" s="93"/>
      <c r="I15" s="93"/>
      <c r="J15" s="93"/>
      <c r="L15" s="93"/>
      <c r="M15" s="93"/>
    </row>
    <row r="16" spans="2:13" ht="13.8" customHeight="1">
      <c r="B16" s="163" t="s">
        <v>138</v>
      </c>
      <c r="C16" s="186"/>
      <c r="D16" s="186"/>
      <c r="E16" s="186"/>
      <c r="F16" s="187"/>
      <c r="H16" s="93"/>
      <c r="I16" s="93"/>
      <c r="J16" s="93"/>
      <c r="L16" s="93"/>
      <c r="M16" s="93"/>
    </row>
    <row r="17" spans="2:13" ht="13.8" customHeight="1">
      <c r="B17" s="149">
        <v>4</v>
      </c>
      <c r="C17" s="149">
        <v>23</v>
      </c>
      <c r="D17" s="149">
        <v>49</v>
      </c>
      <c r="E17" s="150">
        <f t="shared" ref="E17:F18" si="0">C17/D17</f>
        <v>0.46938775510204084</v>
      </c>
      <c r="F17" s="194" t="s">
        <v>157</v>
      </c>
      <c r="H17" s="179" t="s">
        <v>153</v>
      </c>
      <c r="I17" s="93"/>
      <c r="J17" s="93"/>
      <c r="L17" s="93"/>
      <c r="M17" s="93"/>
    </row>
    <row r="18" spans="2:13" ht="13.8" customHeight="1">
      <c r="B18" s="149">
        <v>5</v>
      </c>
      <c r="C18" s="149">
        <v>40</v>
      </c>
      <c r="D18" s="149">
        <v>28</v>
      </c>
      <c r="E18" s="164">
        <f t="shared" si="0"/>
        <v>1.4285714285714286</v>
      </c>
      <c r="F18" s="193" t="s">
        <v>158</v>
      </c>
      <c r="H18" s="93"/>
      <c r="I18" s="93"/>
      <c r="J18" s="93"/>
      <c r="L18" s="93"/>
      <c r="M18" s="93"/>
    </row>
    <row r="19" spans="2:13" ht="13.8" customHeight="1">
      <c r="B19" s="165" t="s">
        <v>139</v>
      </c>
      <c r="C19" s="188"/>
      <c r="D19" s="188"/>
      <c r="E19" s="188"/>
      <c r="F19" s="189"/>
      <c r="H19" s="93"/>
      <c r="I19" s="93"/>
      <c r="J19" s="93"/>
      <c r="L19" s="93"/>
      <c r="M19" s="93"/>
    </row>
    <row r="20" spans="2:13" ht="13.8" customHeight="1">
      <c r="B20" s="149">
        <v>6</v>
      </c>
      <c r="C20" s="149">
        <v>26</v>
      </c>
      <c r="D20" s="149">
        <v>63</v>
      </c>
      <c r="E20" s="164">
        <f t="shared" ref="E20:F20" si="1">C20/D20</f>
        <v>0.41269841269841268</v>
      </c>
      <c r="F20" s="193" t="s">
        <v>159</v>
      </c>
      <c r="H20" s="93"/>
      <c r="I20" s="93"/>
      <c r="J20" s="93"/>
      <c r="L20" s="93"/>
      <c r="M20" s="93"/>
    </row>
    <row r="21" spans="2:13" ht="13.8" customHeight="1">
      <c r="B21" s="168" t="s">
        <v>135</v>
      </c>
      <c r="C21" s="190"/>
      <c r="D21" s="190"/>
      <c r="E21" s="190"/>
      <c r="F21" s="191"/>
      <c r="H21" s="93"/>
      <c r="I21" s="93"/>
      <c r="J21" s="93"/>
      <c r="L21" s="93"/>
      <c r="M21" s="93"/>
    </row>
    <row r="22" spans="2:13" ht="13.8" customHeight="1">
      <c r="B22" s="149">
        <v>7</v>
      </c>
      <c r="C22" s="149">
        <v>162</v>
      </c>
      <c r="D22" s="149">
        <v>173</v>
      </c>
      <c r="E22" s="164">
        <f t="shared" ref="E22:F27" si="2">C22/D22</f>
        <v>0.93641618497109824</v>
      </c>
      <c r="F22" s="193" t="s">
        <v>160</v>
      </c>
      <c r="H22" s="93"/>
      <c r="I22" s="93"/>
      <c r="J22" s="93"/>
      <c r="L22" s="93"/>
      <c r="M22" s="93"/>
    </row>
    <row r="23" spans="2:13" ht="13.8" customHeight="1">
      <c r="B23" s="149">
        <v>8</v>
      </c>
      <c r="C23" s="149">
        <v>32</v>
      </c>
      <c r="D23" s="149">
        <v>32</v>
      </c>
      <c r="E23" s="164">
        <f t="shared" si="2"/>
        <v>1</v>
      </c>
      <c r="F23" s="193" t="s">
        <v>161</v>
      </c>
      <c r="H23" s="93"/>
      <c r="I23" s="93"/>
      <c r="J23" s="93"/>
      <c r="L23" s="93"/>
      <c r="M23" s="93"/>
    </row>
    <row r="24" spans="2:13" ht="13.8" customHeight="1">
      <c r="B24" s="149">
        <v>9</v>
      </c>
      <c r="C24" s="149">
        <v>14</v>
      </c>
      <c r="D24" s="149">
        <v>12</v>
      </c>
      <c r="E24" s="164">
        <f t="shared" si="2"/>
        <v>1.1666666666666667</v>
      </c>
      <c r="F24" s="193" t="s">
        <v>162</v>
      </c>
      <c r="H24" s="93"/>
      <c r="I24" s="93"/>
      <c r="J24" s="93"/>
      <c r="L24" s="93"/>
      <c r="M24" s="93"/>
    </row>
    <row r="25" spans="2:13" ht="13.8" customHeight="1">
      <c r="B25" s="149">
        <v>10</v>
      </c>
      <c r="C25" s="149">
        <v>24</v>
      </c>
      <c r="D25" s="149">
        <v>29</v>
      </c>
      <c r="E25" s="164">
        <f t="shared" si="2"/>
        <v>0.82758620689655171</v>
      </c>
      <c r="F25" s="193" t="s">
        <v>163</v>
      </c>
      <c r="H25" s="93"/>
      <c r="I25" s="93"/>
      <c r="J25" s="93"/>
      <c r="L25" s="93"/>
      <c r="M25" s="93"/>
    </row>
    <row r="26" spans="2:13" ht="13.8" customHeight="1">
      <c r="B26" s="149">
        <v>11</v>
      </c>
      <c r="C26" s="149">
        <v>23</v>
      </c>
      <c r="D26" s="149">
        <v>26</v>
      </c>
      <c r="E26" s="164">
        <f t="shared" si="2"/>
        <v>0.88461538461538458</v>
      </c>
      <c r="F26" s="193" t="s">
        <v>165</v>
      </c>
      <c r="H26" s="93"/>
      <c r="I26" s="93"/>
      <c r="J26" s="93"/>
      <c r="L26" s="93"/>
      <c r="M26" s="93"/>
    </row>
    <row r="27" spans="2:13" ht="13.8" customHeight="1">
      <c r="B27" s="202">
        <v>12</v>
      </c>
      <c r="C27" s="202">
        <v>5</v>
      </c>
      <c r="D27" s="202">
        <v>4</v>
      </c>
      <c r="E27" s="202">
        <f t="shared" si="2"/>
        <v>1.25</v>
      </c>
      <c r="F27" s="203" t="s">
        <v>164</v>
      </c>
      <c r="H27" s="93"/>
      <c r="I27" s="93"/>
      <c r="J27" s="93"/>
      <c r="L27" s="93"/>
      <c r="M27" s="93"/>
    </row>
    <row r="28" spans="2:13" ht="13.8" customHeight="1">
      <c r="B28" s="208"/>
      <c r="C28" s="206"/>
      <c r="D28" s="206"/>
      <c r="E28" s="207"/>
      <c r="F28" s="207"/>
      <c r="H28" s="93"/>
      <c r="I28" s="93"/>
      <c r="J28" s="93"/>
      <c r="L28" s="93"/>
      <c r="M28" s="93"/>
    </row>
    <row r="29" spans="2:13" ht="13.8" customHeight="1">
      <c r="B29" s="209"/>
      <c r="C29" s="205"/>
      <c r="D29" s="205"/>
      <c r="E29" s="204"/>
      <c r="F29" s="204"/>
      <c r="H29" s="93"/>
      <c r="I29" s="93"/>
      <c r="J29" s="93"/>
      <c r="L29" s="93"/>
      <c r="M29" s="93"/>
    </row>
    <row r="30" spans="2:13" ht="13.8" customHeight="1">
      <c r="B30" s="93"/>
      <c r="C30" s="93"/>
      <c r="D30" s="93"/>
      <c r="E30" s="93"/>
      <c r="F30" s="93"/>
      <c r="H30" s="93"/>
      <c r="I30" s="93"/>
      <c r="J30" s="93"/>
      <c r="L30" s="93"/>
      <c r="M30" s="93"/>
    </row>
    <row r="31" spans="2:13" ht="13.8" customHeight="1">
      <c r="B31" s="93"/>
      <c r="C31" s="93"/>
      <c r="D31" s="93"/>
      <c r="E31" s="93"/>
      <c r="F31" s="93"/>
      <c r="H31" s="93"/>
      <c r="I31" s="93"/>
      <c r="J31" s="93"/>
      <c r="L31" s="93"/>
      <c r="M31" s="93"/>
    </row>
    <row r="32" spans="2:13" ht="13.8" customHeight="1"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</row>
    <row r="33" spans="2:12" ht="13.8" customHeight="1"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</row>
    <row r="34" spans="2:12" ht="13.8" customHeight="1"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</row>
    <row r="35" spans="2:12" ht="13.8" customHeight="1"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</row>
    <row r="36" spans="2:12" ht="13.8" customHeight="1"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</row>
  </sheetData>
  <mergeCells count="7">
    <mergeCell ref="B11:F11"/>
    <mergeCell ref="B14:F14"/>
    <mergeCell ref="B16:F16"/>
    <mergeCell ref="B19:F19"/>
    <mergeCell ref="B21:F21"/>
    <mergeCell ref="B2:F2"/>
    <mergeCell ref="B8:F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9EC0-5248-4594-9FA2-E84F2A5F62F6}">
  <dimension ref="A1:I47"/>
  <sheetViews>
    <sheetView workbookViewId="0"/>
  </sheetViews>
  <sheetFormatPr baseColWidth="10" defaultRowHeight="13.2"/>
  <cols>
    <col min="2" max="2" width="13.5546875" customWidth="1"/>
    <col min="4" max="4" width="19.77734375" customWidth="1"/>
    <col min="5" max="5" width="36.109375" customWidth="1"/>
    <col min="6" max="6" width="26.33203125" customWidth="1"/>
    <col min="7" max="7" width="18.44140625" customWidth="1"/>
    <col min="8" max="8" width="17.5546875" customWidth="1"/>
    <col min="9" max="9" width="14.77734375" customWidth="1"/>
  </cols>
  <sheetData>
    <row r="1" spans="1:9">
      <c r="B1" s="224" t="s">
        <v>167</v>
      </c>
      <c r="C1" s="224"/>
      <c r="D1" s="224"/>
      <c r="E1" s="224"/>
      <c r="F1" s="224"/>
    </row>
    <row r="2" spans="1:9">
      <c r="B2" s="225" t="s">
        <v>168</v>
      </c>
      <c r="C2" s="225"/>
      <c r="D2" s="225"/>
      <c r="E2" s="225"/>
      <c r="F2" s="225"/>
    </row>
    <row r="3" spans="1:9" ht="13.8">
      <c r="B3" s="86" t="s">
        <v>106</v>
      </c>
      <c r="C3" s="210" t="s">
        <v>129</v>
      </c>
      <c r="D3" s="211"/>
      <c r="E3" s="86" t="s">
        <v>105</v>
      </c>
      <c r="F3" s="94" t="s">
        <v>104</v>
      </c>
    </row>
    <row r="4" spans="1:9" ht="13.8">
      <c r="B4" s="86" t="s">
        <v>103</v>
      </c>
      <c r="C4" s="210" t="s">
        <v>130</v>
      </c>
      <c r="D4" s="211"/>
      <c r="E4" s="86" t="s">
        <v>102</v>
      </c>
      <c r="F4" s="94">
        <v>1</v>
      </c>
    </row>
    <row r="5" spans="1:9" ht="13.8">
      <c r="B5" s="86" t="s">
        <v>2</v>
      </c>
      <c r="C5" s="210" t="s">
        <v>101</v>
      </c>
      <c r="D5" s="211"/>
      <c r="E5" s="86" t="s">
        <v>100</v>
      </c>
      <c r="F5" s="94" t="s">
        <v>131</v>
      </c>
    </row>
    <row r="6" spans="1:9">
      <c r="B6" s="226" t="s">
        <v>108</v>
      </c>
      <c r="C6" s="226"/>
      <c r="D6" s="226"/>
      <c r="E6" s="226"/>
      <c r="F6" s="226"/>
    </row>
    <row r="8" spans="1:9">
      <c r="A8" s="96" t="s">
        <v>63</v>
      </c>
      <c r="B8" s="96" t="s">
        <v>39</v>
      </c>
      <c r="C8" s="96" t="s">
        <v>110</v>
      </c>
      <c r="D8" s="96" t="s">
        <v>98</v>
      </c>
      <c r="E8" s="96" t="s">
        <v>111</v>
      </c>
      <c r="F8" s="96" t="s">
        <v>112</v>
      </c>
      <c r="G8" s="96" t="s">
        <v>113</v>
      </c>
      <c r="H8" s="96" t="s">
        <v>114</v>
      </c>
      <c r="I8" s="96" t="s">
        <v>115</v>
      </c>
    </row>
    <row r="9" spans="1:9">
      <c r="A9" s="227" t="s">
        <v>169</v>
      </c>
      <c r="B9" s="228"/>
      <c r="C9" s="228"/>
      <c r="D9" s="228"/>
      <c r="E9" s="228"/>
      <c r="F9" s="228"/>
      <c r="G9" s="228"/>
      <c r="H9" s="228"/>
      <c r="I9" s="229"/>
    </row>
    <row r="10" spans="1:9">
      <c r="A10" s="89">
        <v>1</v>
      </c>
      <c r="B10" s="89">
        <f>'Tabla 6.3 Rasgos de tamaños'!$C$12</f>
        <v>92</v>
      </c>
      <c r="C10" s="89">
        <f>'Tabla 6.3 Rasgos de tamaños'!$D$12</f>
        <v>132</v>
      </c>
      <c r="D10" s="89"/>
      <c r="E10" s="218" t="str">
        <f>'Tabla 6.3 Rasgos de tamaños'!$F$12</f>
        <v>Animaciones y funcinalidad de archivos</v>
      </c>
      <c r="F10" s="212" t="s">
        <v>174</v>
      </c>
      <c r="G10" s="89">
        <f>MIN(H10)*0.95</f>
        <v>87.399999999999991</v>
      </c>
      <c r="H10" s="89">
        <f>'Tabla 6.3 Rasgos de tamaños'!$C$12</f>
        <v>92</v>
      </c>
      <c r="I10" s="89">
        <f>MAX(H10)*1.05</f>
        <v>96.600000000000009</v>
      </c>
    </row>
    <row r="11" spans="1:9">
      <c r="A11" s="89">
        <v>2</v>
      </c>
      <c r="B11" s="89">
        <f>'Tabla 6.3 Rasgos de tamaños'!$C$13</f>
        <v>175</v>
      </c>
      <c r="C11" s="89">
        <f>'Tabla 6.3 Rasgos de tamaños'!$D$13</f>
        <v>203</v>
      </c>
      <c r="D11" s="89"/>
      <c r="E11" s="219" t="str">
        <f>'Tabla 6.3 Rasgos de tamaños'!$F$13</f>
        <v>Estilos para el sistema, formularios, botones</v>
      </c>
      <c r="F11" s="212" t="s">
        <v>175</v>
      </c>
      <c r="G11" s="89">
        <f>MIN(H11)*0.95</f>
        <v>166.25</v>
      </c>
      <c r="H11" s="89">
        <f>'Tabla 6.3 Rasgos de tamaños'!$C$13</f>
        <v>175</v>
      </c>
      <c r="I11" s="89">
        <f>MAX(H11)*1.05</f>
        <v>183.75</v>
      </c>
    </row>
    <row r="12" spans="1:9">
      <c r="A12" s="233" t="s">
        <v>170</v>
      </c>
      <c r="B12" s="234"/>
      <c r="C12" s="234"/>
      <c r="D12" s="234"/>
      <c r="E12" s="234"/>
      <c r="F12" s="234"/>
      <c r="G12" s="234"/>
      <c r="H12" s="234"/>
      <c r="I12" s="235"/>
    </row>
    <row r="13" spans="1:9">
      <c r="A13" s="89">
        <v>3</v>
      </c>
      <c r="B13" s="89">
        <f>'Tabla 6.3 Rasgos de tamaños'!$C$15</f>
        <v>40</v>
      </c>
      <c r="C13" s="89">
        <f>'Tabla 6.3 Rasgos de tamaños'!$D$15</f>
        <v>52</v>
      </c>
      <c r="D13" s="89"/>
      <c r="E13" s="219" t="str">
        <f>'Tabla 6.3 Rasgos de tamaños'!$F$15</f>
        <v>Página principal del sistema</v>
      </c>
      <c r="F13" s="212" t="s">
        <v>176</v>
      </c>
      <c r="G13" s="89">
        <f>MIN(H13)*0.95</f>
        <v>38</v>
      </c>
      <c r="H13" s="89">
        <f>'Tabla 6.3 Rasgos de tamaños'!$C$15</f>
        <v>40</v>
      </c>
      <c r="I13" s="89">
        <f>MAX(H13)*1.05</f>
        <v>42</v>
      </c>
    </row>
    <row r="14" spans="1:9">
      <c r="A14" s="230" t="s">
        <v>171</v>
      </c>
      <c r="B14" s="231"/>
      <c r="C14" s="231"/>
      <c r="D14" s="231"/>
      <c r="E14" s="231"/>
      <c r="F14" s="231"/>
      <c r="G14" s="231"/>
      <c r="H14" s="231"/>
      <c r="I14" s="232"/>
    </row>
    <row r="15" spans="1:9">
      <c r="A15" s="89">
        <v>4</v>
      </c>
      <c r="B15" s="89">
        <f>'Tabla 6.3 Rasgos de tamaños'!$C$17</f>
        <v>23</v>
      </c>
      <c r="C15" s="89">
        <f>'Tabla 6.3 Rasgos de tamaños'!$D$17</f>
        <v>49</v>
      </c>
      <c r="D15" s="89"/>
      <c r="E15" s="219" t="str">
        <f>'Tabla 6.3 Rasgos de tamaños'!$F$17</f>
        <v>Configuración global del entorno del sistema</v>
      </c>
      <c r="F15" s="212" t="s">
        <v>177</v>
      </c>
      <c r="G15" s="89">
        <f>MIN(H15)*0.95</f>
        <v>21.849999999999998</v>
      </c>
      <c r="H15" s="89">
        <f>'Tabla 6.3 Rasgos de tamaños'!$C$17</f>
        <v>23</v>
      </c>
      <c r="I15" s="89">
        <f>MAX(H15)*1.05</f>
        <v>24.150000000000002</v>
      </c>
    </row>
    <row r="16" spans="1:9">
      <c r="A16" s="89">
        <v>5</v>
      </c>
      <c r="B16" s="89">
        <f>'Tabla 6.3 Rasgos de tamaños'!$C$18</f>
        <v>40</v>
      </c>
      <c r="C16" s="89">
        <f>'Tabla 6.3 Rasgos de tamaños'!$D$18</f>
        <v>28</v>
      </c>
      <c r="D16" s="89"/>
      <c r="E16" s="218" t="str">
        <f>'Tabla 6.3 Rasgos de tamaños'!$F$18</f>
        <v>Archivo de definición de pruebas en Cucumber</v>
      </c>
      <c r="F16" s="212" t="s">
        <v>178</v>
      </c>
      <c r="G16" s="89">
        <f>MIN(H16)*0.95</f>
        <v>38</v>
      </c>
      <c r="H16" s="89">
        <f>'Tabla 6.3 Rasgos de tamaños'!$C$18</f>
        <v>40</v>
      </c>
      <c r="I16" s="89">
        <f>MAX(H16)*1.05</f>
        <v>42</v>
      </c>
    </row>
    <row r="17" spans="1:9">
      <c r="A17" s="236" t="s">
        <v>172</v>
      </c>
      <c r="B17" s="237"/>
      <c r="C17" s="237"/>
      <c r="D17" s="237"/>
      <c r="E17" s="237"/>
      <c r="F17" s="237"/>
      <c r="G17" s="237"/>
      <c r="H17" s="237"/>
      <c r="I17" s="238"/>
    </row>
    <row r="18" spans="1:9">
      <c r="A18" s="89">
        <v>6</v>
      </c>
      <c r="B18" s="89">
        <f>'Tabla 6.3 Rasgos de tamaños'!$C$20</f>
        <v>26</v>
      </c>
      <c r="C18" s="89">
        <f>'Tabla 6.3 Rasgos de tamaños'!$D$20</f>
        <v>63</v>
      </c>
      <c r="D18" s="89"/>
      <c r="E18" s="218" t="str">
        <f>'Tabla 6.3 Rasgos de tamaños'!$F$20</f>
        <v>Implementación de los pasos Given, When, Then</v>
      </c>
      <c r="F18" s="212" t="s">
        <v>179</v>
      </c>
      <c r="G18" s="89">
        <f>MIN(H18)*0.95</f>
        <v>24.7</v>
      </c>
      <c r="H18" s="89">
        <f>'Tabla 6.3 Rasgos de tamaños'!$C$20</f>
        <v>26</v>
      </c>
      <c r="I18" s="89">
        <f>MAX(H18)*1.05</f>
        <v>27.3</v>
      </c>
    </row>
    <row r="19" spans="1:9">
      <c r="A19" s="239" t="s">
        <v>173</v>
      </c>
      <c r="B19" s="240"/>
      <c r="C19" s="240"/>
      <c r="D19" s="240"/>
      <c r="E19" s="240"/>
      <c r="F19" s="240"/>
      <c r="G19" s="240"/>
      <c r="H19" s="240"/>
      <c r="I19" s="241"/>
    </row>
    <row r="20" spans="1:9">
      <c r="A20" s="89">
        <v>7</v>
      </c>
      <c r="B20" s="89">
        <f>'Tabla 6.3 Rasgos de tamaños'!$C$22</f>
        <v>162</v>
      </c>
      <c r="C20" s="89">
        <f>'Tabla 6.3 Rasgos de tamaños'!$D$22</f>
        <v>173</v>
      </c>
      <c r="D20" s="89"/>
      <c r="E20" s="218" t="str">
        <f>'Tabla 6.3 Rasgos de tamaños'!F22</f>
        <v>Código principal de la aplicación FastAPI</v>
      </c>
      <c r="F20" s="212" t="s">
        <v>180</v>
      </c>
      <c r="G20" s="89">
        <f>MIN(H20)*0.95</f>
        <v>153.9</v>
      </c>
      <c r="H20" s="89">
        <f>'Tabla 6.3 Rasgos de tamaños'!$C$22</f>
        <v>162</v>
      </c>
      <c r="I20" s="89">
        <f>MAX(H20)*1.05</f>
        <v>170.1</v>
      </c>
    </row>
    <row r="21" spans="1:9">
      <c r="A21" s="89">
        <v>8</v>
      </c>
      <c r="B21" s="89">
        <f>'Tabla 6.3 Rasgos de tamaños'!$C$23</f>
        <v>32</v>
      </c>
      <c r="C21" s="89">
        <f>'Tabla 6.3 Rasgos de tamaños'!$D$23</f>
        <v>32</v>
      </c>
      <c r="D21" s="89"/>
      <c r="E21" s="218" t="str">
        <f>'Tabla 6.3 Rasgos de tamaños'!F23</f>
        <v>Código para integración con Jira</v>
      </c>
      <c r="F21" s="212" t="s">
        <v>181</v>
      </c>
      <c r="G21" s="89">
        <f>MIN(H21)*0.95</f>
        <v>30.4</v>
      </c>
      <c r="H21" s="89">
        <f>'Tabla 6.3 Rasgos de tamaños'!$C$23</f>
        <v>32</v>
      </c>
      <c r="I21" s="89">
        <f>MAX(H21)*1.05</f>
        <v>33.6</v>
      </c>
    </row>
    <row r="22" spans="1:9">
      <c r="A22" s="89">
        <v>9</v>
      </c>
      <c r="B22" s="89">
        <f>'Tabla 6.3 Rasgos de tamaños'!$C$24</f>
        <v>14</v>
      </c>
      <c r="C22" s="89">
        <f>'Tabla 6.3 Rasgos de tamaños'!$D$24</f>
        <v>12</v>
      </c>
      <c r="D22" s="89"/>
      <c r="E22" s="218" t="str">
        <f>'Tabla 6.3 Rasgos de tamaños'!F24</f>
        <v>Librerías necesarias de Python</v>
      </c>
      <c r="F22" s="212" t="s">
        <v>182</v>
      </c>
      <c r="G22" s="89">
        <f>MIN(H22)*0.95</f>
        <v>13.299999999999999</v>
      </c>
      <c r="H22" s="89">
        <f>'Tabla 6.3 Rasgos de tamaños'!$C$24</f>
        <v>14</v>
      </c>
      <c r="I22" s="89">
        <f>MAX(H22)*1.05</f>
        <v>14.700000000000001</v>
      </c>
    </row>
    <row r="23" spans="1:9">
      <c r="A23" s="89">
        <v>10</v>
      </c>
      <c r="B23" s="89">
        <f>'Tabla 6.3 Rasgos de tamaños'!$C$25</f>
        <v>24</v>
      </c>
      <c r="C23" s="89">
        <f>'Tabla 6.3 Rasgos de tamaños'!$D$25</f>
        <v>29</v>
      </c>
      <c r="D23" s="89"/>
      <c r="E23" s="218" t="str">
        <f>'Tabla 6.3 Rasgos de tamaños'!F25</f>
        <v>Script de ejecución de pruebas</v>
      </c>
      <c r="F23" s="212" t="s">
        <v>183</v>
      </c>
      <c r="G23" s="89">
        <f>MIN(H23)*0.95</f>
        <v>22.799999999999997</v>
      </c>
      <c r="H23" s="89">
        <f>'Tabla 6.3 Rasgos de tamaños'!$C$25</f>
        <v>24</v>
      </c>
      <c r="I23" s="89">
        <f>MAX(H23)*1.05</f>
        <v>25.200000000000003</v>
      </c>
    </row>
    <row r="24" spans="1:9">
      <c r="A24" s="89">
        <v>11</v>
      </c>
      <c r="B24" s="89">
        <f>'Tabla 6.3 Rasgos de tamaños'!$C$26</f>
        <v>23</v>
      </c>
      <c r="C24" s="89">
        <f>'Tabla 6.3 Rasgos de tamaños'!$D$26</f>
        <v>26</v>
      </c>
      <c r="D24" s="89"/>
      <c r="E24" s="218" t="str">
        <f>'Tabla 6.3 Rasgos de tamaños'!F26</f>
        <v>Manual de ejecución del sistema</v>
      </c>
      <c r="F24" s="212" t="s">
        <v>184</v>
      </c>
      <c r="G24" s="89">
        <f>MIN(H24)*0.95</f>
        <v>21.849999999999998</v>
      </c>
      <c r="H24" s="89">
        <f>'Tabla 6.3 Rasgos de tamaños'!$C$26</f>
        <v>23</v>
      </c>
      <c r="I24" s="89">
        <f>MAX(H24)*1.05</f>
        <v>24.150000000000002</v>
      </c>
    </row>
    <row r="25" spans="1:9">
      <c r="A25" s="89">
        <v>12</v>
      </c>
      <c r="B25" s="89">
        <f>'Tabla 6.3 Rasgos de tamaños'!$C$27</f>
        <v>5</v>
      </c>
      <c r="C25" s="89">
        <f>'Tabla 6.3 Rasgos de tamaños'!$D$27</f>
        <v>4</v>
      </c>
      <c r="D25" s="89"/>
      <c r="E25" s="218" t="str">
        <f>'Tabla 6.3 Rasgos de tamaños'!F27</f>
        <v>Variables de entorno (API Jira, DB, etc.)</v>
      </c>
      <c r="F25" s="212" t="s">
        <v>185</v>
      </c>
      <c r="G25" s="89">
        <f>MIN(H25)*0.95</f>
        <v>4.75</v>
      </c>
      <c r="H25" s="89">
        <f>'Tabla 6.3 Rasgos de tamaños'!$C$27</f>
        <v>5</v>
      </c>
      <c r="I25" s="89">
        <f>MAX(H25)*1.05</f>
        <v>5.25</v>
      </c>
    </row>
    <row r="26" spans="1:9">
      <c r="A26" s="213" t="s">
        <v>116</v>
      </c>
      <c r="B26" s="220">
        <f>'Tabla 6.2 Tiempos de desarrollo'!$C$28</f>
        <v>656</v>
      </c>
      <c r="C26" s="220">
        <f>'Tabla 6.2 Tiempos de desarrollo'!$D$28</f>
        <v>803</v>
      </c>
      <c r="D26" s="217">
        <f>'Tabla 6.2 Tiempos de desarrollo'!$E$29</f>
        <v>0.81693648816936493</v>
      </c>
      <c r="E26" s="213"/>
      <c r="F26" s="213"/>
      <c r="G26" s="242">
        <f>SUM(G10,G11,G13,G15,G16,G18,G20,G21,G22,G23,G24,G25)</f>
        <v>623.19999999999993</v>
      </c>
      <c r="H26" s="242">
        <f>SUM(H10,H11,H13,H15,H16,H18,H20,H21,H22,H23,H24,H25)</f>
        <v>656</v>
      </c>
      <c r="I26" s="242">
        <f>SUM(I10,I11,I13,I15,I16,I18,I20,I21,I22,I23,I24,I25)</f>
        <v>688.80000000000007</v>
      </c>
    </row>
    <row r="27" spans="1:9">
      <c r="A27" s="214"/>
      <c r="B27" s="214"/>
      <c r="C27" s="214"/>
      <c r="D27" s="214"/>
      <c r="E27" s="214"/>
      <c r="F27" s="214"/>
      <c r="G27" s="214"/>
      <c r="H27" s="214"/>
      <c r="I27" s="214"/>
    </row>
    <row r="28" spans="1:9">
      <c r="A28" s="156"/>
      <c r="B28" s="156"/>
      <c r="C28" s="156"/>
      <c r="D28" s="156"/>
      <c r="E28" s="156"/>
      <c r="F28" s="156"/>
      <c r="G28" s="156"/>
      <c r="H28" s="156"/>
      <c r="I28" s="156"/>
    </row>
    <row r="29" spans="1:9" ht="15.6">
      <c r="A29" s="156"/>
      <c r="C29" s="223">
        <f>I26/C26</f>
        <v>0.85778331257783325</v>
      </c>
      <c r="D29" s="222" t="s">
        <v>186</v>
      </c>
      <c r="F29" s="299" t="s">
        <v>263</v>
      </c>
      <c r="G29" s="156">
        <f>G26/60</f>
        <v>10.386666666666665</v>
      </c>
      <c r="H29" s="156">
        <f>H26/60</f>
        <v>10.933333333333334</v>
      </c>
      <c r="I29" s="156">
        <f>I26/60</f>
        <v>11.48</v>
      </c>
    </row>
    <row r="30" spans="1:9" ht="15.6">
      <c r="A30" s="156"/>
      <c r="C30" s="223">
        <f>H26/C26</f>
        <v>0.81693648816936493</v>
      </c>
      <c r="D30" s="222" t="s">
        <v>187</v>
      </c>
      <c r="E30" s="156"/>
      <c r="F30" s="156"/>
      <c r="G30" s="156">
        <f>C26/G29</f>
        <v>77.310654685494242</v>
      </c>
      <c r="H30" s="156">
        <f>C26/H29</f>
        <v>73.445121951219505</v>
      </c>
      <c r="I30" s="156">
        <f>C26/I29</f>
        <v>69.947735191637634</v>
      </c>
    </row>
    <row r="31" spans="1:9">
      <c r="A31" s="156"/>
      <c r="B31" s="156"/>
      <c r="C31" s="156"/>
      <c r="D31" s="156"/>
      <c r="E31" s="156"/>
      <c r="F31" s="156"/>
      <c r="G31" s="156"/>
      <c r="H31" s="156"/>
      <c r="I31" s="156"/>
    </row>
    <row r="32" spans="1:9">
      <c r="A32" s="156"/>
      <c r="B32" s="156"/>
      <c r="C32" s="156"/>
      <c r="D32" s="156"/>
      <c r="E32" s="156"/>
      <c r="F32" s="156"/>
      <c r="G32" s="156"/>
      <c r="H32" s="156"/>
      <c r="I32" s="156"/>
    </row>
    <row r="33" spans="1:9">
      <c r="A33" s="156"/>
      <c r="B33" s="156"/>
      <c r="C33" s="156"/>
    </row>
    <row r="34" spans="1:9">
      <c r="A34" s="156"/>
      <c r="B34" s="156"/>
      <c r="C34" s="156"/>
      <c r="F34" s="91"/>
    </row>
    <row r="35" spans="1:9">
      <c r="A35" s="156"/>
      <c r="B35" s="156"/>
      <c r="C35" s="156"/>
    </row>
    <row r="36" spans="1:9">
      <c r="A36" s="156"/>
      <c r="B36" s="156"/>
      <c r="C36" s="156"/>
      <c r="G36" s="92"/>
      <c r="H36" s="92"/>
    </row>
    <row r="37" spans="1:9">
      <c r="A37" s="156"/>
      <c r="B37" s="156"/>
      <c r="C37" s="156"/>
    </row>
    <row r="38" spans="1:9">
      <c r="A38" s="156"/>
      <c r="B38" s="156"/>
      <c r="C38" s="156"/>
      <c r="D38" s="156"/>
      <c r="E38" s="156"/>
      <c r="F38" s="156"/>
      <c r="G38" s="156"/>
      <c r="H38" s="156"/>
      <c r="I38" s="156"/>
    </row>
    <row r="39" spans="1:9">
      <c r="A39" s="156"/>
      <c r="B39" s="156"/>
      <c r="C39" s="156"/>
      <c r="D39" s="156"/>
      <c r="E39" s="156"/>
      <c r="F39" s="156"/>
      <c r="G39" s="156"/>
      <c r="H39" s="156"/>
      <c r="I39" s="156"/>
    </row>
    <row r="40" spans="1:9">
      <c r="A40" s="156"/>
      <c r="B40" s="156"/>
      <c r="C40" s="156"/>
      <c r="D40" s="156"/>
      <c r="E40" s="156"/>
      <c r="F40" s="156"/>
      <c r="G40" s="156"/>
      <c r="H40" s="156"/>
      <c r="I40" s="156"/>
    </row>
    <row r="41" spans="1:9">
      <c r="A41" s="156"/>
      <c r="B41" s="156"/>
      <c r="C41" s="156"/>
      <c r="D41" s="156"/>
      <c r="E41" s="156"/>
      <c r="F41" s="156"/>
      <c r="G41" s="156"/>
      <c r="H41" s="156"/>
      <c r="I41" s="156"/>
    </row>
    <row r="42" spans="1:9">
      <c r="A42" s="156"/>
      <c r="B42" s="156"/>
      <c r="C42" s="156"/>
      <c r="D42" s="156"/>
      <c r="E42" s="156"/>
      <c r="F42" s="156"/>
      <c r="G42" s="156"/>
      <c r="H42" s="156"/>
      <c r="I42" s="156"/>
    </row>
    <row r="43" spans="1:9">
      <c r="A43" s="156"/>
      <c r="B43" s="156"/>
      <c r="C43" s="156"/>
      <c r="D43" s="156"/>
      <c r="E43" s="156"/>
      <c r="F43" s="156"/>
      <c r="G43" s="156"/>
      <c r="H43" s="156"/>
      <c r="I43" s="156"/>
    </row>
    <row r="44" spans="1:9">
      <c r="A44" s="156"/>
      <c r="B44" s="156"/>
      <c r="C44" s="156"/>
    </row>
    <row r="45" spans="1:9">
      <c r="A45" s="156"/>
      <c r="B45" s="156"/>
      <c r="C45" s="156"/>
    </row>
    <row r="46" spans="1:9">
      <c r="A46" s="156"/>
      <c r="B46" s="156"/>
      <c r="C46" s="156"/>
    </row>
    <row r="47" spans="1:9">
      <c r="A47" s="156"/>
      <c r="B47" s="156"/>
      <c r="C47" s="156"/>
    </row>
  </sheetData>
  <mergeCells count="8">
    <mergeCell ref="A9:I9"/>
    <mergeCell ref="A12:I12"/>
    <mergeCell ref="A14:I14"/>
    <mergeCell ref="A17:I17"/>
    <mergeCell ref="A19:I19"/>
    <mergeCell ref="B1:F1"/>
    <mergeCell ref="B2:F2"/>
    <mergeCell ref="B6:F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37"/>
  <sheetViews>
    <sheetView workbookViewId="0"/>
  </sheetViews>
  <sheetFormatPr baseColWidth="10" defaultColWidth="12.6640625" defaultRowHeight="18.600000000000001" customHeight="1"/>
  <cols>
    <col min="1" max="1" width="10" customWidth="1"/>
    <col min="2" max="2" width="21" customWidth="1"/>
    <col min="3" max="3" width="71.44140625" customWidth="1"/>
    <col min="4" max="26" width="10" customWidth="1"/>
  </cols>
  <sheetData>
    <row r="1" spans="1:4" ht="18.600000000000001" customHeight="1">
      <c r="A1" s="243"/>
      <c r="B1" s="243"/>
      <c r="C1" s="243"/>
      <c r="D1" s="23"/>
    </row>
    <row r="2" spans="1:4" ht="18.600000000000001" customHeight="1">
      <c r="A2" s="243"/>
      <c r="B2" s="249" t="s">
        <v>29</v>
      </c>
      <c r="C2" s="250"/>
      <c r="D2" s="23"/>
    </row>
    <row r="3" spans="1:4" ht="18.600000000000001" customHeight="1">
      <c r="A3" s="243"/>
      <c r="B3" s="244"/>
      <c r="C3" s="244"/>
      <c r="D3" s="23"/>
    </row>
    <row r="4" spans="1:4" ht="18.600000000000001" customHeight="1">
      <c r="A4" s="243"/>
      <c r="B4" s="245" t="s">
        <v>30</v>
      </c>
      <c r="C4" s="245" t="s">
        <v>31</v>
      </c>
      <c r="D4" s="23"/>
    </row>
    <row r="5" spans="1:4" ht="18.600000000000001" customHeight="1">
      <c r="A5" s="243"/>
      <c r="B5" s="246" t="s">
        <v>189</v>
      </c>
      <c r="C5" s="247" t="s">
        <v>190</v>
      </c>
      <c r="D5" s="23"/>
    </row>
    <row r="6" spans="1:4" ht="18.600000000000001" customHeight="1">
      <c r="A6" s="243"/>
      <c r="B6" s="248" t="s">
        <v>15</v>
      </c>
      <c r="C6" s="221" t="s">
        <v>203</v>
      </c>
      <c r="D6" s="23"/>
    </row>
    <row r="7" spans="1:4" ht="18.600000000000001" customHeight="1">
      <c r="A7" s="243"/>
      <c r="B7" s="248" t="s">
        <v>16</v>
      </c>
      <c r="C7" s="221" t="s">
        <v>204</v>
      </c>
      <c r="D7" s="23"/>
    </row>
    <row r="8" spans="1:4" ht="18.600000000000001" customHeight="1">
      <c r="A8" s="243"/>
      <c r="B8" s="248" t="s">
        <v>17</v>
      </c>
      <c r="C8" s="221" t="s">
        <v>205</v>
      </c>
      <c r="D8" s="23"/>
    </row>
    <row r="9" spans="1:4" ht="18.600000000000001" customHeight="1">
      <c r="A9" s="93"/>
      <c r="B9" s="248" t="s">
        <v>18</v>
      </c>
      <c r="C9" s="221" t="s">
        <v>206</v>
      </c>
      <c r="D9" s="23"/>
    </row>
    <row r="10" spans="1:4" ht="18.600000000000001" customHeight="1">
      <c r="A10" s="93"/>
      <c r="B10" s="246" t="s">
        <v>191</v>
      </c>
      <c r="C10" s="247" t="s">
        <v>192</v>
      </c>
      <c r="D10" s="23"/>
    </row>
    <row r="11" spans="1:4" ht="18.600000000000001" customHeight="1">
      <c r="A11" s="93"/>
      <c r="B11" s="248" t="s">
        <v>19</v>
      </c>
      <c r="C11" s="221" t="s">
        <v>207</v>
      </c>
      <c r="D11" s="23"/>
    </row>
    <row r="12" spans="1:4" ht="18.600000000000001" customHeight="1">
      <c r="A12" s="23"/>
      <c r="B12" s="248" t="s">
        <v>20</v>
      </c>
      <c r="C12" s="221" t="s">
        <v>208</v>
      </c>
      <c r="D12" s="23"/>
    </row>
    <row r="13" spans="1:4" ht="18.600000000000001" customHeight="1">
      <c r="A13" s="23"/>
      <c r="B13" s="248" t="s">
        <v>21</v>
      </c>
      <c r="C13" s="221" t="s">
        <v>209</v>
      </c>
      <c r="D13" s="23"/>
    </row>
    <row r="14" spans="1:4" ht="18.600000000000001" customHeight="1">
      <c r="A14" s="23"/>
      <c r="B14" s="248" t="s">
        <v>22</v>
      </c>
      <c r="C14" s="221" t="s">
        <v>210</v>
      </c>
      <c r="D14" s="23"/>
    </row>
    <row r="15" spans="1:4" ht="18.600000000000001" customHeight="1">
      <c r="A15" s="23"/>
      <c r="B15" s="246" t="s">
        <v>193</v>
      </c>
      <c r="C15" s="247" t="s">
        <v>194</v>
      </c>
      <c r="D15" s="23"/>
    </row>
    <row r="16" spans="1:4" ht="18.600000000000001" customHeight="1">
      <c r="A16" s="23"/>
      <c r="B16" s="248" t="s">
        <v>23</v>
      </c>
      <c r="C16" s="221" t="s">
        <v>211</v>
      </c>
      <c r="D16" s="23"/>
    </row>
    <row r="17" spans="1:4" ht="18.600000000000001" customHeight="1">
      <c r="A17" s="23"/>
      <c r="B17" s="248" t="s">
        <v>24</v>
      </c>
      <c r="C17" s="221" t="s">
        <v>212</v>
      </c>
      <c r="D17" s="23"/>
    </row>
    <row r="18" spans="1:4" ht="18.600000000000001" customHeight="1">
      <c r="A18" s="23"/>
      <c r="B18" s="248" t="s">
        <v>25</v>
      </c>
      <c r="C18" s="221" t="s">
        <v>213</v>
      </c>
      <c r="D18" s="23"/>
    </row>
    <row r="19" spans="1:4" ht="18.600000000000001" customHeight="1">
      <c r="A19" s="23"/>
      <c r="B19" s="246" t="s">
        <v>195</v>
      </c>
      <c r="C19" s="247" t="s">
        <v>196</v>
      </c>
      <c r="D19" s="23"/>
    </row>
    <row r="20" spans="1:4" ht="18.600000000000001" customHeight="1">
      <c r="A20" s="23"/>
      <c r="B20" s="248" t="s">
        <v>26</v>
      </c>
      <c r="C20" s="221" t="s">
        <v>214</v>
      </c>
      <c r="D20" s="23"/>
    </row>
    <row r="21" spans="1:4" ht="18.600000000000001" customHeight="1">
      <c r="A21" s="23"/>
      <c r="B21" s="248" t="s">
        <v>27</v>
      </c>
      <c r="C21" s="221" t="s">
        <v>215</v>
      </c>
      <c r="D21" s="23"/>
    </row>
    <row r="22" spans="1:4" ht="18.600000000000001" customHeight="1">
      <c r="B22" s="248" t="s">
        <v>28</v>
      </c>
      <c r="C22" s="221" t="s">
        <v>216</v>
      </c>
    </row>
    <row r="23" spans="1:4" ht="18.600000000000001" customHeight="1">
      <c r="B23" s="246" t="s">
        <v>197</v>
      </c>
      <c r="C23" s="247" t="s">
        <v>198</v>
      </c>
    </row>
    <row r="24" spans="1:4" ht="18.600000000000001" customHeight="1">
      <c r="B24" s="248" t="s">
        <v>229</v>
      </c>
      <c r="C24" s="221" t="s">
        <v>217</v>
      </c>
    </row>
    <row r="25" spans="1:4" ht="18.600000000000001" customHeight="1">
      <c r="B25" s="248" t="s">
        <v>230</v>
      </c>
      <c r="C25" s="221" t="s">
        <v>218</v>
      </c>
    </row>
    <row r="26" spans="1:4" ht="18.600000000000001" customHeight="1">
      <c r="B26" s="248" t="s">
        <v>231</v>
      </c>
      <c r="C26" s="221" t="s">
        <v>219</v>
      </c>
    </row>
    <row r="27" spans="1:4" ht="18.600000000000001" customHeight="1">
      <c r="B27" s="248" t="s">
        <v>232</v>
      </c>
      <c r="C27" s="221" t="s">
        <v>220</v>
      </c>
    </row>
    <row r="28" spans="1:4" ht="18.600000000000001" customHeight="1">
      <c r="B28" s="246" t="s">
        <v>199</v>
      </c>
      <c r="C28" s="247" t="s">
        <v>200</v>
      </c>
    </row>
    <row r="29" spans="1:4" ht="18.600000000000001" customHeight="1">
      <c r="B29" s="248" t="s">
        <v>233</v>
      </c>
      <c r="C29" s="221" t="s">
        <v>221</v>
      </c>
    </row>
    <row r="30" spans="1:4" ht="18.600000000000001" customHeight="1">
      <c r="B30" s="248" t="s">
        <v>234</v>
      </c>
      <c r="C30" s="221" t="s">
        <v>222</v>
      </c>
    </row>
    <row r="31" spans="1:4" ht="18.600000000000001" customHeight="1">
      <c r="B31" s="248" t="s">
        <v>235</v>
      </c>
      <c r="C31" s="221" t="s">
        <v>223</v>
      </c>
    </row>
    <row r="32" spans="1:4" ht="18.600000000000001" customHeight="1">
      <c r="B32" s="248" t="s">
        <v>236</v>
      </c>
      <c r="C32" s="221" t="s">
        <v>224</v>
      </c>
    </row>
    <row r="33" spans="2:3" ht="18.600000000000001" customHeight="1">
      <c r="B33" s="246" t="s">
        <v>201</v>
      </c>
      <c r="C33" s="247" t="s">
        <v>202</v>
      </c>
    </row>
    <row r="34" spans="2:3" ht="18.600000000000001" customHeight="1">
      <c r="B34" s="248" t="s">
        <v>237</v>
      </c>
      <c r="C34" s="221" t="s">
        <v>225</v>
      </c>
    </row>
    <row r="35" spans="2:3" ht="18.600000000000001" customHeight="1">
      <c r="B35" s="248" t="s">
        <v>238</v>
      </c>
      <c r="C35" s="221" t="s">
        <v>226</v>
      </c>
    </row>
    <row r="36" spans="2:3" ht="18.600000000000001" customHeight="1">
      <c r="B36" s="248" t="s">
        <v>239</v>
      </c>
      <c r="C36" s="221" t="s">
        <v>227</v>
      </c>
    </row>
    <row r="37" spans="2:3" ht="18.600000000000001" customHeight="1">
      <c r="B37" s="248" t="s">
        <v>240</v>
      </c>
      <c r="C37" s="221" t="s">
        <v>228</v>
      </c>
    </row>
  </sheetData>
  <mergeCells count="1">
    <mergeCell ref="B2:C2"/>
  </mergeCells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997"/>
  <sheetViews>
    <sheetView showGridLines="0" workbookViewId="0"/>
  </sheetViews>
  <sheetFormatPr baseColWidth="10" defaultColWidth="12.6640625" defaultRowHeight="15" customHeight="1"/>
  <cols>
    <col min="1" max="1" width="2.88671875" customWidth="1"/>
    <col min="2" max="2" width="10.44140625" customWidth="1"/>
    <col min="3" max="4" width="9.109375" customWidth="1"/>
    <col min="5" max="5" width="8.88671875" customWidth="1"/>
    <col min="6" max="7" width="9.109375" customWidth="1"/>
    <col min="8" max="8" width="49.21875" customWidth="1"/>
    <col min="9" max="10" width="3.77734375" customWidth="1"/>
    <col min="11" max="26" width="10" customWidth="1"/>
  </cols>
  <sheetData>
    <row r="1" spans="1:26" ht="12.75" customHeight="1">
      <c r="A1" s="1"/>
      <c r="B1" s="1"/>
      <c r="C1" s="1"/>
      <c r="D1" s="1"/>
      <c r="E1" s="1"/>
      <c r="F1" s="1"/>
      <c r="G1" s="1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5" customHeight="1">
      <c r="A2" s="1"/>
      <c r="B2" s="1" t="s">
        <v>130</v>
      </c>
      <c r="C2" s="3"/>
      <c r="D2" s="3"/>
      <c r="E2" s="3"/>
      <c r="F2" s="3"/>
      <c r="G2" s="1"/>
      <c r="H2" s="2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>
      <c r="A3" s="1"/>
      <c r="B3" s="4" t="s">
        <v>0</v>
      </c>
      <c r="C3" s="97" t="s">
        <v>188</v>
      </c>
      <c r="D3" s="98"/>
      <c r="E3" s="98"/>
      <c r="F3" s="99"/>
      <c r="G3" s="5"/>
      <c r="H3" s="6" t="s">
        <v>1</v>
      </c>
      <c r="I3" s="100"/>
      <c r="J3" s="10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3.5" customHeight="1">
      <c r="A4" s="1"/>
      <c r="B4" s="7" t="s">
        <v>2</v>
      </c>
      <c r="C4" s="102" t="s">
        <v>3</v>
      </c>
      <c r="D4" s="103"/>
      <c r="E4" s="103"/>
      <c r="F4" s="104"/>
      <c r="G4" s="8"/>
      <c r="H4" s="9" t="s">
        <v>4</v>
      </c>
      <c r="I4" s="105"/>
      <c r="J4" s="106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3.5" customHeight="1">
      <c r="A5" s="1"/>
      <c r="B5" s="1"/>
      <c r="C5" s="1"/>
      <c r="D5" s="1"/>
      <c r="E5" s="1"/>
      <c r="F5" s="1"/>
      <c r="G5" s="1"/>
      <c r="H5" s="2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3.2" customHeight="1">
      <c r="A6" s="10"/>
      <c r="B6" s="253" t="s">
        <v>5</v>
      </c>
      <c r="C6" s="254" t="s">
        <v>6</v>
      </c>
      <c r="D6" s="254" t="s">
        <v>7</v>
      </c>
      <c r="E6" s="254" t="s">
        <v>8</v>
      </c>
      <c r="F6" s="254" t="s">
        <v>9</v>
      </c>
      <c r="G6" s="254" t="s">
        <v>10</v>
      </c>
      <c r="H6" s="255" t="s">
        <v>11</v>
      </c>
      <c r="I6" s="254" t="s">
        <v>12</v>
      </c>
      <c r="J6" s="256" t="s">
        <v>13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3.2" customHeight="1">
      <c r="A7" s="11"/>
      <c r="B7" s="257">
        <v>45660</v>
      </c>
      <c r="C7" s="274" t="s">
        <v>189</v>
      </c>
      <c r="D7" s="275"/>
      <c r="E7" s="275"/>
      <c r="F7" s="275"/>
      <c r="G7" s="276"/>
      <c r="H7" s="259" t="str">
        <f>'Diccionario de Actividades'!C5</f>
        <v>Implementar la interfaz de carga de archivos.</v>
      </c>
      <c r="I7" s="258">
        <v>1</v>
      </c>
      <c r="J7" s="258">
        <v>1</v>
      </c>
      <c r="K7" s="12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3.2" customHeight="1">
      <c r="A8" s="11"/>
      <c r="B8" s="260">
        <v>45660</v>
      </c>
      <c r="C8" s="261">
        <v>0.75</v>
      </c>
      <c r="D8" s="261">
        <v>0.83333333333333337</v>
      </c>
      <c r="E8" s="262" t="s">
        <v>14</v>
      </c>
      <c r="F8" s="261">
        <v>8.3333333333333329E-2</v>
      </c>
      <c r="G8" s="262" t="s">
        <v>15</v>
      </c>
      <c r="H8" s="263" t="str">
        <f>'Diccionario de Actividades'!C6</f>
        <v>Crear espacio para el ingreso de archivos.</v>
      </c>
      <c r="I8" s="264">
        <v>1</v>
      </c>
      <c r="J8" s="264">
        <v>1</v>
      </c>
      <c r="K8" s="12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3.2" customHeight="1">
      <c r="A9" s="11"/>
      <c r="B9" s="260">
        <v>45660</v>
      </c>
      <c r="C9" s="261">
        <v>0.83333333333333337</v>
      </c>
      <c r="D9" s="261">
        <v>0.875</v>
      </c>
      <c r="E9" s="262"/>
      <c r="F9" s="261">
        <v>4.1666666666666664E-2</v>
      </c>
      <c r="G9" s="262" t="s">
        <v>16</v>
      </c>
      <c r="H9" s="263" t="str">
        <f>'Diccionario de Actividades'!C7</f>
        <v>Implementar un botón de carga de archivo.</v>
      </c>
      <c r="I9" s="264">
        <v>1</v>
      </c>
      <c r="J9" s="264">
        <v>1</v>
      </c>
      <c r="K9" s="12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3.2" customHeight="1">
      <c r="A10" s="11"/>
      <c r="B10" s="260">
        <v>45660</v>
      </c>
      <c r="C10" s="261">
        <v>0.875</v>
      </c>
      <c r="D10" s="261">
        <v>0.89583333333333337</v>
      </c>
      <c r="E10" s="262"/>
      <c r="F10" s="261">
        <v>2.0833333333333332E-2</v>
      </c>
      <c r="G10" s="262" t="s">
        <v>17</v>
      </c>
      <c r="H10" s="263" t="str">
        <f>'Diccionario de Actividades'!C8</f>
        <v>Añadir validación para tipos de archivos permitidos.</v>
      </c>
      <c r="I10" s="264">
        <v>1</v>
      </c>
      <c r="J10" s="264">
        <v>1</v>
      </c>
      <c r="K10" s="12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3.2" customHeight="1">
      <c r="A11" s="11"/>
      <c r="B11" s="260">
        <v>45660</v>
      </c>
      <c r="C11" s="261">
        <v>0.875</v>
      </c>
      <c r="D11" s="261">
        <v>0.89583333333333337</v>
      </c>
      <c r="E11" s="262"/>
      <c r="F11" s="261">
        <v>2.0833333333333332E-2</v>
      </c>
      <c r="G11" s="262" t="s">
        <v>18</v>
      </c>
      <c r="H11" s="263" t="str">
        <f>'Diccionario de Actividades'!C9</f>
        <v>Mostrar mensajes de confirmación al cargar archivos.</v>
      </c>
      <c r="I11" s="264">
        <v>1</v>
      </c>
      <c r="J11" s="264">
        <v>1</v>
      </c>
      <c r="K11" s="12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3.2" customHeight="1">
      <c r="A12" s="11"/>
      <c r="B12" s="265">
        <v>45661</v>
      </c>
      <c r="C12" s="277" t="s">
        <v>191</v>
      </c>
      <c r="D12" s="278"/>
      <c r="E12" s="278"/>
      <c r="F12" s="278"/>
      <c r="G12" s="279"/>
      <c r="H12" s="267" t="str">
        <f>'Diccionario de Actividades'!C10</f>
        <v>Procesar el contenido del archivo Excel.</v>
      </c>
      <c r="I12" s="266">
        <v>2</v>
      </c>
      <c r="J12" s="266">
        <v>2</v>
      </c>
      <c r="K12" s="12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3.2" customHeight="1">
      <c r="A13" s="11"/>
      <c r="B13" s="260">
        <v>45661</v>
      </c>
      <c r="C13" s="261">
        <v>0.54166666666666663</v>
      </c>
      <c r="D13" s="261">
        <v>0.625</v>
      </c>
      <c r="E13" s="262"/>
      <c r="F13" s="261">
        <v>8.3333333333333329E-2</v>
      </c>
      <c r="G13" s="262" t="s">
        <v>19</v>
      </c>
      <c r="H13" s="263" t="str">
        <f>'Diccionario de Actividades'!C11</f>
        <v>Leer y parsear el contenido del archivo.</v>
      </c>
      <c r="I13" s="264">
        <v>2</v>
      </c>
      <c r="J13" s="264">
        <v>2</v>
      </c>
      <c r="K13" s="12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3.2" customHeight="1">
      <c r="A14" s="11"/>
      <c r="B14" s="260">
        <v>45661</v>
      </c>
      <c r="C14" s="261">
        <v>0.75</v>
      </c>
      <c r="D14" s="261">
        <v>0.83333333333333337</v>
      </c>
      <c r="E14" s="262"/>
      <c r="F14" s="261">
        <v>8.3333333333333329E-2</v>
      </c>
      <c r="G14" s="262" t="s">
        <v>20</v>
      </c>
      <c r="H14" s="263" t="str">
        <f>'Diccionario de Actividades'!C12</f>
        <v>Validar la estructura del archivo.</v>
      </c>
      <c r="I14" s="264">
        <v>2</v>
      </c>
      <c r="J14" s="264">
        <v>2</v>
      </c>
      <c r="K14" s="12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3.2" customHeight="1">
      <c r="A15" s="11"/>
      <c r="B15" s="260">
        <v>45661</v>
      </c>
      <c r="C15" s="261">
        <v>0.83333333333333337</v>
      </c>
      <c r="D15" s="261">
        <v>0.875</v>
      </c>
      <c r="E15" s="262"/>
      <c r="F15" s="261">
        <v>4.1666666666666664E-2</v>
      </c>
      <c r="G15" s="262" t="s">
        <v>21</v>
      </c>
      <c r="H15" s="263" t="str">
        <f>'Diccionario de Actividades'!C13</f>
        <v>Manejar errores en el formato del archivo.</v>
      </c>
      <c r="I15" s="264">
        <v>2</v>
      </c>
      <c r="J15" s="264">
        <v>2</v>
      </c>
      <c r="K15" s="12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3.2" customHeight="1">
      <c r="A16" s="11"/>
      <c r="B16" s="260">
        <v>45661</v>
      </c>
      <c r="C16" s="261">
        <v>0.875</v>
      </c>
      <c r="D16" s="261">
        <v>0.89583333333333337</v>
      </c>
      <c r="E16" s="262"/>
      <c r="F16" s="261">
        <v>2.0833333333333332E-2</v>
      </c>
      <c r="G16" s="262" t="s">
        <v>22</v>
      </c>
      <c r="H16" s="263" t="str">
        <f>'Diccionario de Actividades'!C14</f>
        <v>Guardar datos procesados en memoria o base de datos.</v>
      </c>
      <c r="I16" s="264">
        <v>2</v>
      </c>
      <c r="J16" s="264">
        <v>2</v>
      </c>
      <c r="K16" s="12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3.2" customHeight="1">
      <c r="A17" s="11"/>
      <c r="B17" s="257">
        <v>45662</v>
      </c>
      <c r="C17" s="274" t="s">
        <v>193</v>
      </c>
      <c r="D17" s="275"/>
      <c r="E17" s="275"/>
      <c r="F17" s="275"/>
      <c r="G17" s="276"/>
      <c r="H17" s="259" t="str">
        <f>'Diccionario de Actividades'!C15</f>
        <v>Validar rutas autorizadas.</v>
      </c>
      <c r="I17" s="258">
        <v>3</v>
      </c>
      <c r="J17" s="258">
        <v>3</v>
      </c>
      <c r="K17" s="12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3.2" customHeight="1">
      <c r="A18" s="11"/>
      <c r="B18" s="260">
        <v>45662</v>
      </c>
      <c r="C18" s="261">
        <v>0.54166666666666663</v>
      </c>
      <c r="D18" s="261">
        <v>0.66666666666666663</v>
      </c>
      <c r="E18" s="262"/>
      <c r="F18" s="261">
        <v>0.125</v>
      </c>
      <c r="G18" s="262" t="s">
        <v>23</v>
      </c>
      <c r="H18" s="263" t="str">
        <f>'Diccionario de Actividades'!C16</f>
        <v>Crear lista de rutas permitidas.</v>
      </c>
      <c r="I18" s="264">
        <v>3</v>
      </c>
      <c r="J18" s="264">
        <v>3</v>
      </c>
      <c r="K18" s="12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3.2" customHeight="1">
      <c r="A19" s="11"/>
      <c r="B19" s="260">
        <v>45662</v>
      </c>
      <c r="C19" s="261">
        <v>0.79166666666666663</v>
      </c>
      <c r="D19" s="261">
        <v>0.83333333333333337</v>
      </c>
      <c r="E19" s="262"/>
      <c r="F19" s="261">
        <v>4.1666666666666664E-2</v>
      </c>
      <c r="G19" s="262" t="s">
        <v>24</v>
      </c>
      <c r="H19" s="263" t="str">
        <f>'Diccionario de Actividades'!C17</f>
        <v>Implementar lógica de validación de rutas.</v>
      </c>
      <c r="I19" s="264">
        <v>3</v>
      </c>
      <c r="J19" s="264">
        <v>3</v>
      </c>
      <c r="K19" s="12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3.2" customHeight="1">
      <c r="A20" s="11"/>
      <c r="B20" s="260">
        <v>45662</v>
      </c>
      <c r="C20" s="261">
        <v>0.83333333333333337</v>
      </c>
      <c r="D20" s="261">
        <v>0.875</v>
      </c>
      <c r="E20" s="262"/>
      <c r="F20" s="261">
        <v>4.1666666666666664E-2</v>
      </c>
      <c r="G20" s="262" t="s">
        <v>25</v>
      </c>
      <c r="H20" s="263" t="str">
        <f>'Diccionario de Actividades'!C18</f>
        <v>Manejar errores cuando una ruta no sea válida.</v>
      </c>
      <c r="I20" s="264">
        <v>3</v>
      </c>
      <c r="J20" s="264">
        <v>3</v>
      </c>
      <c r="K20" s="12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3.2" customHeight="1">
      <c r="A21" s="11"/>
      <c r="B21" s="257">
        <v>45668</v>
      </c>
      <c r="C21" s="274" t="s">
        <v>195</v>
      </c>
      <c r="D21" s="275"/>
      <c r="E21" s="275"/>
      <c r="F21" s="275"/>
      <c r="G21" s="276"/>
      <c r="H21" s="268" t="str">
        <f>'Diccionario de Actividades'!C19</f>
        <v>Implementar notificaciones de rutas inválidas.</v>
      </c>
      <c r="I21" s="258">
        <v>4</v>
      </c>
      <c r="J21" s="258">
        <v>3</v>
      </c>
      <c r="K21" s="12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3.2" customHeight="1">
      <c r="A22" s="11"/>
      <c r="B22" s="269">
        <v>45668</v>
      </c>
      <c r="C22" s="270">
        <v>0.54166666666666663</v>
      </c>
      <c r="D22" s="270">
        <v>0.625</v>
      </c>
      <c r="E22" s="270">
        <v>1.0416666666666666E-2</v>
      </c>
      <c r="F22" s="270">
        <v>8.3333333333333329E-2</v>
      </c>
      <c r="G22" s="271" t="s">
        <v>26</v>
      </c>
      <c r="H22" s="272" t="str">
        <f>'Diccionario de Actividades'!C20</f>
        <v>Detectar rutas no autorizadas.</v>
      </c>
      <c r="I22" s="273">
        <v>4</v>
      </c>
      <c r="J22" s="264">
        <v>3</v>
      </c>
      <c r="K22" s="12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3.2" customHeight="1">
      <c r="A23" s="11"/>
      <c r="B23" s="269">
        <v>45668</v>
      </c>
      <c r="C23" s="270">
        <v>0.70833333333333337</v>
      </c>
      <c r="D23" s="270">
        <v>0.79166666666666663</v>
      </c>
      <c r="E23" s="270">
        <v>6.9444444444444441E-3</v>
      </c>
      <c r="F23" s="270">
        <v>8.3333333333333329E-2</v>
      </c>
      <c r="G23" s="271" t="s">
        <v>27</v>
      </c>
      <c r="H23" s="272" t="str">
        <f>'Diccionario de Actividades'!C21</f>
        <v>Mostrar alertas en la interfaz cuando se detecten rutas no válidas.</v>
      </c>
      <c r="I23" s="273">
        <v>4</v>
      </c>
      <c r="J23" s="264">
        <v>3</v>
      </c>
      <c r="K23" s="12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3.2" customHeight="1">
      <c r="A24" s="11"/>
      <c r="B24" s="269">
        <v>45668</v>
      </c>
      <c r="C24" s="261">
        <v>0.83333333333333337</v>
      </c>
      <c r="D24" s="261">
        <v>0.875</v>
      </c>
      <c r="E24" s="262"/>
      <c r="F24" s="261">
        <v>4.1666666666666664E-2</v>
      </c>
      <c r="G24" s="271" t="s">
        <v>28</v>
      </c>
      <c r="H24" s="263" t="str">
        <f>'Diccionario de Actividades'!C22</f>
        <v>Registrar intentos de acceso a rutas no autorizadas.</v>
      </c>
      <c r="I24" s="264">
        <v>4</v>
      </c>
      <c r="J24" s="264">
        <v>3</v>
      </c>
      <c r="K24" s="12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3.2" customHeight="1">
      <c r="A25" s="11"/>
      <c r="B25" s="257">
        <v>45669</v>
      </c>
      <c r="C25" s="274" t="s">
        <v>197</v>
      </c>
      <c r="D25" s="275"/>
      <c r="E25" s="275"/>
      <c r="F25" s="275"/>
      <c r="G25" s="276"/>
      <c r="H25" s="268" t="str">
        <f>'Diccionario de Actividades'!C23</f>
        <v>Generar gráficos básicos.</v>
      </c>
      <c r="I25" s="258">
        <v>5</v>
      </c>
      <c r="J25" s="258">
        <v>4</v>
      </c>
      <c r="K25" s="12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3.2" customHeight="1">
      <c r="A26" s="11"/>
      <c r="B26" s="269">
        <v>45669</v>
      </c>
      <c r="C26" s="270">
        <v>0.58333333333333337</v>
      </c>
      <c r="D26" s="270">
        <v>0.64583333333333337</v>
      </c>
      <c r="E26" s="270">
        <v>6.9444444444444441E-3</v>
      </c>
      <c r="F26" s="270">
        <v>6.25E-2</v>
      </c>
      <c r="G26" s="271" t="s">
        <v>229</v>
      </c>
      <c r="H26" s="272" t="str">
        <f>'Diccionario de Actividades'!C24</f>
        <v>Definir los tipos de gráficos a generar.</v>
      </c>
      <c r="I26" s="273">
        <v>5</v>
      </c>
      <c r="J26" s="273">
        <v>4</v>
      </c>
      <c r="K26" s="12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3.2" customHeight="1">
      <c r="A27" s="11"/>
      <c r="B27" s="269">
        <v>45669</v>
      </c>
      <c r="C27" s="270">
        <v>0.41666666666666669</v>
      </c>
      <c r="D27" s="270">
        <v>0.47916666666666669</v>
      </c>
      <c r="E27" s="270">
        <v>1.0416666666666666E-2</v>
      </c>
      <c r="F27" s="270">
        <v>6.25E-2</v>
      </c>
      <c r="G27" s="271" t="s">
        <v>230</v>
      </c>
      <c r="H27" s="272" t="str">
        <f>'Diccionario de Actividades'!C25</f>
        <v>Implementar librería de visualización de datos.</v>
      </c>
      <c r="I27" s="273">
        <v>5</v>
      </c>
      <c r="J27" s="273">
        <v>4</v>
      </c>
      <c r="K27" s="12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3.2" customHeight="1">
      <c r="A28" s="11"/>
      <c r="B28" s="269">
        <v>45669</v>
      </c>
      <c r="C28" s="270">
        <v>0.66666666666666663</v>
      </c>
      <c r="D28" s="270">
        <v>0.72916666666666663</v>
      </c>
      <c r="E28" s="270">
        <v>6.9444444444444441E-3</v>
      </c>
      <c r="F28" s="270">
        <v>6.25E-2</v>
      </c>
      <c r="G28" s="271" t="s">
        <v>231</v>
      </c>
      <c r="H28" s="272" t="str">
        <f>'Diccionario de Actividades'!C26</f>
        <v>Generar gráficos basados en datos procesados.</v>
      </c>
      <c r="I28" s="273">
        <v>5</v>
      </c>
      <c r="J28" s="264">
        <v>4</v>
      </c>
      <c r="K28" s="12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3.2" customHeight="1">
      <c r="A29" s="11"/>
      <c r="B29" s="269">
        <v>45669</v>
      </c>
      <c r="C29" s="261">
        <v>0.83333333333333337</v>
      </c>
      <c r="D29" s="261">
        <v>0.875</v>
      </c>
      <c r="E29" s="270">
        <v>1.0416666666666666E-2</v>
      </c>
      <c r="F29" s="270">
        <v>4.1666666666666664E-2</v>
      </c>
      <c r="G29" s="271" t="s">
        <v>232</v>
      </c>
      <c r="H29" s="272" t="str">
        <f>'Diccionario de Actividades'!C27</f>
        <v>Mostrar gráficos en la interfaz de usuario.</v>
      </c>
      <c r="I29" s="273">
        <v>5</v>
      </c>
      <c r="J29" s="264">
        <v>4</v>
      </c>
      <c r="K29" s="12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3.2" customHeight="1">
      <c r="A30" s="11"/>
      <c r="B30" s="269">
        <v>45670</v>
      </c>
      <c r="C30" s="274" t="s">
        <v>199</v>
      </c>
      <c r="D30" s="275"/>
      <c r="E30" s="275"/>
      <c r="F30" s="275"/>
      <c r="G30" s="276"/>
      <c r="H30" s="268" t="str">
        <f>'Diccionario de Actividades'!C28</f>
        <v>Exportar datos procesados a Excel.</v>
      </c>
      <c r="I30" s="258">
        <v>6</v>
      </c>
      <c r="J30" s="258">
        <v>5</v>
      </c>
      <c r="K30" s="12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3.2" customHeight="1">
      <c r="A31" s="11"/>
      <c r="B31" s="269">
        <v>45670</v>
      </c>
      <c r="C31" s="270">
        <v>0.58333333333333337</v>
      </c>
      <c r="D31" s="270">
        <v>0.64583333333333337</v>
      </c>
      <c r="E31" s="270">
        <v>6.9444444444444441E-3</v>
      </c>
      <c r="F31" s="270">
        <v>6.25E-2</v>
      </c>
      <c r="G31" s="271" t="s">
        <v>233</v>
      </c>
      <c r="H31" s="272" t="str">
        <f>'Diccionario de Actividades'!C29</f>
        <v>Crear función para exportar datos a formato Excel.</v>
      </c>
      <c r="I31" s="273">
        <v>6</v>
      </c>
      <c r="J31" s="273">
        <v>5</v>
      </c>
      <c r="K31" s="12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3.2" customHeight="1">
      <c r="A32" s="11"/>
      <c r="B32" s="269">
        <v>45670</v>
      </c>
      <c r="C32" s="270">
        <v>0.41666666666666669</v>
      </c>
      <c r="D32" s="270">
        <v>0.47916666666666669</v>
      </c>
      <c r="E32" s="270">
        <v>1.0416666666666666E-2</v>
      </c>
      <c r="F32" s="270">
        <v>6.25E-2</v>
      </c>
      <c r="G32" s="271" t="s">
        <v>234</v>
      </c>
      <c r="H32" s="272" t="str">
        <f>'Diccionario de Actividades'!C30</f>
        <v>Validar que los datos sean exportados correctamente.</v>
      </c>
      <c r="I32" s="273">
        <v>6</v>
      </c>
      <c r="J32" s="273">
        <v>5</v>
      </c>
      <c r="K32" s="12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3.2" customHeight="1">
      <c r="A33" s="11"/>
      <c r="B33" s="269">
        <v>45670</v>
      </c>
      <c r="C33" s="270">
        <v>0.66666666666666663</v>
      </c>
      <c r="D33" s="270">
        <v>0.72916666666666663</v>
      </c>
      <c r="E33" s="270">
        <v>6.9444444444444441E-3</v>
      </c>
      <c r="F33" s="270">
        <v>6.25E-2</v>
      </c>
      <c r="G33" s="271" t="s">
        <v>235</v>
      </c>
      <c r="H33" s="272" t="str">
        <f>'Diccionario de Actividades'!C31</f>
        <v>Añadir opción de descarga en la interfaz.</v>
      </c>
      <c r="I33" s="273">
        <v>6</v>
      </c>
      <c r="J33" s="273">
        <v>5</v>
      </c>
      <c r="K33" s="12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3.2" customHeight="1">
      <c r="A34" s="11"/>
      <c r="B34" s="269">
        <v>45670</v>
      </c>
      <c r="C34" s="261">
        <v>0.83333333333333337</v>
      </c>
      <c r="D34" s="261">
        <v>0.875</v>
      </c>
      <c r="E34" s="270">
        <v>1.0416666666666666E-2</v>
      </c>
      <c r="F34" s="270">
        <v>4.1666666666666664E-2</v>
      </c>
      <c r="G34" s="271" t="s">
        <v>236</v>
      </c>
      <c r="H34" s="272" t="str">
        <f>'Diccionario de Actividades'!C32</f>
        <v>Mostrar confirmación de exportación exitosa.</v>
      </c>
      <c r="I34" s="273">
        <v>6</v>
      </c>
      <c r="J34" s="273">
        <v>5</v>
      </c>
      <c r="K34" s="12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3.2" customHeight="1">
      <c r="A35" s="11"/>
      <c r="B35" s="269">
        <v>45671</v>
      </c>
      <c r="C35" s="274" t="s">
        <v>201</v>
      </c>
      <c r="D35" s="275"/>
      <c r="E35" s="275"/>
      <c r="F35" s="275"/>
      <c r="G35" s="276"/>
      <c r="H35" s="268" t="str">
        <f>'Diccionario de Actividades'!C33</f>
        <v>Mostrar notificaciones de error específicas para mejorar la experiencia del usuario.</v>
      </c>
      <c r="I35" s="258">
        <v>7</v>
      </c>
      <c r="J35" s="258">
        <v>6</v>
      </c>
      <c r="K35" s="12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3.2" customHeight="1">
      <c r="A36" s="11"/>
      <c r="B36" s="269">
        <v>45671</v>
      </c>
      <c r="C36" s="270">
        <v>0.58333333333333337</v>
      </c>
      <c r="D36" s="270">
        <v>0.64583333333333337</v>
      </c>
      <c r="E36" s="270">
        <v>6.9444444444444441E-3</v>
      </c>
      <c r="F36" s="270">
        <v>6.25E-2</v>
      </c>
      <c r="G36" s="271" t="s">
        <v>237</v>
      </c>
      <c r="H36" s="272" t="str">
        <f>'Diccionario de Actividades'!C34</f>
        <v>Definir los tipos de errores comunes en la aplicación.</v>
      </c>
      <c r="I36" s="273">
        <v>7</v>
      </c>
      <c r="J36" s="273">
        <v>6</v>
      </c>
      <c r="K36" s="12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3.2" customHeight="1">
      <c r="A37" s="11"/>
      <c r="B37" s="269">
        <v>45672</v>
      </c>
      <c r="C37" s="270">
        <v>0.41666666666666669</v>
      </c>
      <c r="D37" s="270">
        <v>0.47916666666666669</v>
      </c>
      <c r="E37" s="270">
        <v>1.0416666666666666E-2</v>
      </c>
      <c r="F37" s="270">
        <v>6.25E-2</v>
      </c>
      <c r="G37" s="271" t="s">
        <v>238</v>
      </c>
      <c r="H37" s="272" t="str">
        <f>'Diccionario de Actividades'!C35</f>
        <v>Implementar sistema de notificaciones en la interfaz.</v>
      </c>
      <c r="I37" s="273">
        <v>7</v>
      </c>
      <c r="J37" s="273">
        <v>6</v>
      </c>
      <c r="K37" s="12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2" customHeight="1">
      <c r="A38" s="11"/>
      <c r="B38" s="269">
        <v>45673</v>
      </c>
      <c r="C38" s="270">
        <v>0.66666666666666663</v>
      </c>
      <c r="D38" s="270">
        <v>0.72916666666666663</v>
      </c>
      <c r="E38" s="270">
        <v>6.9444444444444441E-3</v>
      </c>
      <c r="F38" s="270">
        <v>6.25E-2</v>
      </c>
      <c r="G38" s="271" t="s">
        <v>239</v>
      </c>
      <c r="H38" s="272" t="str">
        <f>'Diccionario de Actividades'!C36</f>
        <v>Asociar cada error a un mensaje descriptivo.</v>
      </c>
      <c r="I38" s="273">
        <v>7</v>
      </c>
      <c r="J38" s="273">
        <v>6</v>
      </c>
      <c r="K38" s="12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3.2" customHeight="1">
      <c r="A39" s="11"/>
      <c r="B39" s="269">
        <v>45673</v>
      </c>
      <c r="C39" s="261">
        <v>0.83333333333333337</v>
      </c>
      <c r="D39" s="261">
        <v>0.875</v>
      </c>
      <c r="E39" s="270">
        <v>1.0416666666666666E-2</v>
      </c>
      <c r="F39" s="270">
        <v>4.1666666666666664E-2</v>
      </c>
      <c r="G39" s="271" t="s">
        <v>240</v>
      </c>
      <c r="H39" s="272" t="str">
        <f>'Diccionario de Actividades'!C37</f>
        <v>Probar y ajustar notificaciones según la experiencia del usuario.</v>
      </c>
      <c r="I39" s="273">
        <v>7</v>
      </c>
      <c r="J39" s="273">
        <v>6</v>
      </c>
      <c r="K39" s="12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3.2" customHeight="1">
      <c r="A40" s="11"/>
      <c r="B40" s="13"/>
      <c r="C40" s="14"/>
      <c r="D40" s="14"/>
      <c r="E40" s="15"/>
      <c r="F40" s="15"/>
      <c r="G40" s="15"/>
      <c r="H40" s="16"/>
      <c r="I40" s="17"/>
      <c r="J40" s="15"/>
      <c r="K40" s="1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>
      <c r="A41" s="11"/>
      <c r="B41" s="18"/>
      <c r="C41" s="18"/>
      <c r="D41" s="18"/>
      <c r="E41" s="18"/>
      <c r="F41" s="18"/>
      <c r="G41" s="18"/>
      <c r="H41" s="19"/>
      <c r="I41" s="18"/>
      <c r="J41" s="18"/>
      <c r="K41" s="12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>
      <c r="A42" s="1"/>
      <c r="B42" s="20"/>
      <c r="C42" s="20"/>
      <c r="D42" s="20"/>
      <c r="E42" s="20"/>
      <c r="F42" s="20"/>
      <c r="G42" s="20"/>
      <c r="H42" s="21"/>
      <c r="I42" s="20"/>
      <c r="J42" s="20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>
      <c r="A43" s="1"/>
      <c r="B43" s="251" t="s">
        <v>241</v>
      </c>
      <c r="C43" s="251"/>
      <c r="D43" s="251" t="s">
        <v>44</v>
      </c>
      <c r="E43" s="251"/>
      <c r="F43" s="251"/>
      <c r="G43" s="251"/>
      <c r="H43" s="25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29.4" customHeight="1">
      <c r="A44" s="1"/>
      <c r="B44" s="251" t="s">
        <v>242</v>
      </c>
      <c r="C44" s="251"/>
      <c r="D44" s="252" t="s">
        <v>244</v>
      </c>
      <c r="E44" s="252"/>
      <c r="F44" s="252"/>
      <c r="G44" s="252"/>
      <c r="H44" s="252"/>
      <c r="I44" s="22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27.6" customHeight="1">
      <c r="A45" s="1"/>
      <c r="B45" s="251" t="s">
        <v>243</v>
      </c>
      <c r="C45" s="251"/>
      <c r="D45" s="252" t="s">
        <v>245</v>
      </c>
      <c r="E45" s="252"/>
      <c r="F45" s="252"/>
      <c r="G45" s="252"/>
      <c r="H45" s="252"/>
      <c r="I45" s="22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>
      <c r="A46" s="1"/>
      <c r="I46" s="22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>
      <c r="A47" s="1"/>
      <c r="I47" s="22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>
      <c r="A48" s="1"/>
      <c r="I48" s="22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>
      <c r="A49" s="1"/>
      <c r="I49" s="22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>
      <c r="A50" s="1"/>
      <c r="I50" s="22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>
      <c r="A51" s="1"/>
      <c r="I51" s="22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>
      <c r="A52" s="1"/>
      <c r="I52" s="22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>
      <c r="A53" s="1"/>
      <c r="I53" s="22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>
      <c r="A54" s="1"/>
      <c r="I54" s="22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1"/>
      <c r="D55" s="1"/>
      <c r="E55" s="1"/>
      <c r="F55" s="1"/>
      <c r="G55" s="1"/>
      <c r="H55" s="2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1"/>
      <c r="C56" s="1"/>
      <c r="D56" s="1"/>
      <c r="E56" s="1"/>
      <c r="F56" s="1"/>
      <c r="G56" s="1"/>
      <c r="H56" s="2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>
      <c r="A57" s="1"/>
      <c r="B57" s="1"/>
      <c r="C57" s="1"/>
      <c r="D57" s="1"/>
      <c r="E57" s="1"/>
      <c r="F57" s="1"/>
      <c r="G57" s="1"/>
      <c r="H57" s="2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>
      <c r="A58" s="1"/>
      <c r="B58" s="1"/>
      <c r="C58" s="1"/>
      <c r="D58" s="1"/>
      <c r="E58" s="1"/>
      <c r="F58" s="1"/>
      <c r="G58" s="1"/>
      <c r="H58" s="2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>
      <c r="A59" s="1"/>
      <c r="B59" s="1"/>
      <c r="C59" s="1"/>
      <c r="D59" s="1"/>
      <c r="E59" s="1"/>
      <c r="F59" s="1"/>
      <c r="G59" s="1"/>
      <c r="H59" s="2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>
      <c r="A60" s="1"/>
      <c r="B60" s="1"/>
      <c r="C60" s="1"/>
      <c r="D60" s="1"/>
      <c r="E60" s="1"/>
      <c r="F60" s="1"/>
      <c r="G60" s="1"/>
      <c r="H60" s="2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>
      <c r="A61" s="1"/>
      <c r="B61" s="1"/>
      <c r="C61" s="1"/>
      <c r="D61" s="1"/>
      <c r="E61" s="1"/>
      <c r="F61" s="1"/>
      <c r="G61" s="1"/>
      <c r="H61" s="2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>
      <c r="A62" s="1"/>
      <c r="B62" s="1"/>
      <c r="C62" s="1"/>
      <c r="D62" s="1"/>
      <c r="E62" s="1"/>
      <c r="F62" s="1"/>
      <c r="G62" s="1"/>
      <c r="H62" s="2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>
      <c r="A63" s="1"/>
      <c r="B63" s="1"/>
      <c r="C63" s="1"/>
      <c r="D63" s="1"/>
      <c r="E63" s="1"/>
      <c r="F63" s="1"/>
      <c r="G63" s="1"/>
      <c r="H63" s="2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>
      <c r="A64" s="1"/>
      <c r="B64" s="1"/>
      <c r="C64" s="1"/>
      <c r="D64" s="1"/>
      <c r="E64" s="1"/>
      <c r="F64" s="1"/>
      <c r="G64" s="1"/>
      <c r="H64" s="2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>
      <c r="A65" s="1"/>
      <c r="B65" s="1"/>
      <c r="C65" s="1"/>
      <c r="D65" s="1"/>
      <c r="E65" s="1"/>
      <c r="F65" s="1"/>
      <c r="G65" s="1"/>
      <c r="H65" s="2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>
      <c r="A66" s="1"/>
      <c r="B66" s="1"/>
      <c r="C66" s="1"/>
      <c r="D66" s="1"/>
      <c r="E66" s="1"/>
      <c r="F66" s="1"/>
      <c r="G66" s="1"/>
      <c r="H66" s="2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>
      <c r="A67" s="1"/>
      <c r="B67" s="1"/>
      <c r="C67" s="1"/>
      <c r="D67" s="1"/>
      <c r="E67" s="1"/>
      <c r="F67" s="1"/>
      <c r="G67" s="1"/>
      <c r="H67" s="2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>
      <c r="A68" s="1"/>
      <c r="B68" s="1"/>
      <c r="C68" s="1"/>
      <c r="D68" s="1"/>
      <c r="E68" s="1"/>
      <c r="F68" s="1"/>
      <c r="G68" s="1"/>
      <c r="H68" s="2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>
      <c r="A69" s="1"/>
      <c r="B69" s="1"/>
      <c r="C69" s="1"/>
      <c r="D69" s="1"/>
      <c r="E69" s="1"/>
      <c r="F69" s="1"/>
      <c r="G69" s="1"/>
      <c r="H69" s="2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>
      <c r="A70" s="1"/>
      <c r="B70" s="1"/>
      <c r="C70" s="1"/>
      <c r="D70" s="1"/>
      <c r="E70" s="1"/>
      <c r="F70" s="1"/>
      <c r="G70" s="1"/>
      <c r="H70" s="2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>
      <c r="A71" s="1"/>
      <c r="B71" s="1"/>
      <c r="C71" s="1"/>
      <c r="D71" s="1"/>
      <c r="E71" s="1"/>
      <c r="F71" s="1"/>
      <c r="G71" s="1"/>
      <c r="H71" s="2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>
      <c r="A72" s="1"/>
      <c r="B72" s="1"/>
      <c r="C72" s="1"/>
      <c r="D72" s="1"/>
      <c r="E72" s="1"/>
      <c r="F72" s="1"/>
      <c r="G72" s="1"/>
      <c r="H72" s="2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>
      <c r="A73" s="1"/>
      <c r="B73" s="1"/>
      <c r="C73" s="1"/>
      <c r="D73" s="1"/>
      <c r="E73" s="1"/>
      <c r="F73" s="1"/>
      <c r="G73" s="1"/>
      <c r="H73" s="2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>
      <c r="A74" s="1"/>
      <c r="B74" s="1"/>
      <c r="C74" s="1"/>
      <c r="D74" s="1"/>
      <c r="E74" s="1"/>
      <c r="F74" s="1"/>
      <c r="G74" s="1"/>
      <c r="H74" s="2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>
      <c r="A75" s="1"/>
      <c r="B75" s="1"/>
      <c r="C75" s="1"/>
      <c r="D75" s="1"/>
      <c r="E75" s="1"/>
      <c r="F75" s="1"/>
      <c r="G75" s="1"/>
      <c r="H75" s="2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>
      <c r="A76" s="1"/>
      <c r="B76" s="1"/>
      <c r="C76" s="1"/>
      <c r="D76" s="1"/>
      <c r="E76" s="1"/>
      <c r="F76" s="1"/>
      <c r="G76" s="1"/>
      <c r="H76" s="2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>
      <c r="A77" s="1"/>
      <c r="B77" s="1"/>
      <c r="C77" s="1"/>
      <c r="D77" s="1"/>
      <c r="E77" s="1"/>
      <c r="F77" s="1"/>
      <c r="G77" s="1"/>
      <c r="H77" s="2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>
      <c r="A78" s="1"/>
      <c r="B78" s="1"/>
      <c r="C78" s="1"/>
      <c r="D78" s="1"/>
      <c r="E78" s="1"/>
      <c r="F78" s="1"/>
      <c r="G78" s="1"/>
      <c r="H78" s="2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>
      <c r="A79" s="1"/>
      <c r="B79" s="1"/>
      <c r="C79" s="1"/>
      <c r="D79" s="1"/>
      <c r="E79" s="1"/>
      <c r="F79" s="1"/>
      <c r="G79" s="1"/>
      <c r="H79" s="2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>
      <c r="A80" s="1"/>
      <c r="B80" s="1"/>
      <c r="C80" s="1"/>
      <c r="D80" s="1"/>
      <c r="E80" s="1"/>
      <c r="F80" s="1"/>
      <c r="G80" s="1"/>
      <c r="H80" s="2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>
      <c r="A81" s="1"/>
      <c r="B81" s="1"/>
      <c r="C81" s="1"/>
      <c r="D81" s="1"/>
      <c r="E81" s="1"/>
      <c r="F81" s="1"/>
      <c r="G81" s="1"/>
      <c r="H81" s="2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>
      <c r="A82" s="1"/>
      <c r="B82" s="1"/>
      <c r="C82" s="1"/>
      <c r="D82" s="1"/>
      <c r="E82" s="1"/>
      <c r="F82" s="1"/>
      <c r="G82" s="1"/>
      <c r="H82" s="2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>
      <c r="A83" s="1"/>
      <c r="B83" s="1"/>
      <c r="C83" s="1"/>
      <c r="D83" s="1"/>
      <c r="E83" s="1"/>
      <c r="F83" s="1"/>
      <c r="G83" s="1"/>
      <c r="H83" s="2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>
      <c r="A84" s="1"/>
      <c r="B84" s="1"/>
      <c r="C84" s="1"/>
      <c r="D84" s="1"/>
      <c r="E84" s="1"/>
      <c r="F84" s="1"/>
      <c r="G84" s="1"/>
      <c r="H84" s="2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>
      <c r="A85" s="1"/>
      <c r="B85" s="1"/>
      <c r="C85" s="1"/>
      <c r="D85" s="1"/>
      <c r="E85" s="1"/>
      <c r="F85" s="1"/>
      <c r="G85" s="1"/>
      <c r="H85" s="2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>
      <c r="A86" s="1"/>
      <c r="B86" s="1"/>
      <c r="C86" s="1"/>
      <c r="D86" s="1"/>
      <c r="E86" s="1"/>
      <c r="F86" s="1"/>
      <c r="G86" s="1"/>
      <c r="H86" s="2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>
      <c r="A87" s="1"/>
      <c r="B87" s="1"/>
      <c r="C87" s="1"/>
      <c r="D87" s="1"/>
      <c r="E87" s="1"/>
      <c r="F87" s="1"/>
      <c r="G87" s="1"/>
      <c r="H87" s="2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>
      <c r="A88" s="1"/>
      <c r="B88" s="1"/>
      <c r="C88" s="1"/>
      <c r="D88" s="1"/>
      <c r="E88" s="1"/>
      <c r="F88" s="1"/>
      <c r="G88" s="1"/>
      <c r="H88" s="2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>
      <c r="A89" s="1"/>
      <c r="B89" s="1"/>
      <c r="C89" s="1"/>
      <c r="D89" s="1"/>
      <c r="E89" s="1"/>
      <c r="F89" s="1"/>
      <c r="G89" s="1"/>
      <c r="H89" s="2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>
      <c r="A90" s="1"/>
      <c r="B90" s="1"/>
      <c r="C90" s="1"/>
      <c r="D90" s="1"/>
      <c r="E90" s="1"/>
      <c r="F90" s="1"/>
      <c r="G90" s="1"/>
      <c r="H90" s="2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>
      <c r="A91" s="1"/>
      <c r="B91" s="1"/>
      <c r="C91" s="1"/>
      <c r="D91" s="1"/>
      <c r="E91" s="1"/>
      <c r="F91" s="1"/>
      <c r="G91" s="1"/>
      <c r="H91" s="2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>
      <c r="A92" s="1"/>
      <c r="B92" s="1"/>
      <c r="C92" s="1"/>
      <c r="D92" s="1"/>
      <c r="E92" s="1"/>
      <c r="F92" s="1"/>
      <c r="G92" s="1"/>
      <c r="H92" s="2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>
      <c r="A93" s="1"/>
      <c r="B93" s="1"/>
      <c r="C93" s="1"/>
      <c r="D93" s="1"/>
      <c r="E93" s="1"/>
      <c r="F93" s="1"/>
      <c r="G93" s="1"/>
      <c r="H93" s="2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>
      <c r="A94" s="1"/>
      <c r="B94" s="1"/>
      <c r="C94" s="1"/>
      <c r="D94" s="1"/>
      <c r="E94" s="1"/>
      <c r="F94" s="1"/>
      <c r="G94" s="1"/>
      <c r="H94" s="2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>
      <c r="A95" s="1"/>
      <c r="B95" s="1"/>
      <c r="C95" s="1"/>
      <c r="D95" s="1"/>
      <c r="E95" s="1"/>
      <c r="F95" s="1"/>
      <c r="G95" s="1"/>
      <c r="H95" s="2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>
      <c r="A96" s="1"/>
      <c r="B96" s="1"/>
      <c r="C96" s="1"/>
      <c r="D96" s="1"/>
      <c r="E96" s="1"/>
      <c r="F96" s="1"/>
      <c r="G96" s="1"/>
      <c r="H96" s="2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>
      <c r="A97" s="1"/>
      <c r="B97" s="1"/>
      <c r="C97" s="1"/>
      <c r="D97" s="1"/>
      <c r="E97" s="1"/>
      <c r="F97" s="1"/>
      <c r="G97" s="1"/>
      <c r="H97" s="2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>
      <c r="A98" s="1"/>
      <c r="B98" s="1"/>
      <c r="C98" s="1"/>
      <c r="D98" s="1"/>
      <c r="E98" s="1"/>
      <c r="F98" s="1"/>
      <c r="G98" s="1"/>
      <c r="H98" s="2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>
      <c r="A99" s="1"/>
      <c r="B99" s="1"/>
      <c r="C99" s="1"/>
      <c r="D99" s="1"/>
      <c r="E99" s="1"/>
      <c r="F99" s="1"/>
      <c r="G99" s="1"/>
      <c r="H99" s="2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>
      <c r="A100" s="1"/>
      <c r="B100" s="1"/>
      <c r="C100" s="1"/>
      <c r="D100" s="1"/>
      <c r="E100" s="1"/>
      <c r="F100" s="1"/>
      <c r="G100" s="1"/>
      <c r="H100" s="2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>
      <c r="A101" s="1"/>
      <c r="B101" s="1"/>
      <c r="C101" s="1"/>
      <c r="D101" s="1"/>
      <c r="E101" s="1"/>
      <c r="F101" s="1"/>
      <c r="G101" s="1"/>
      <c r="H101" s="2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1"/>
      <c r="H102" s="2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1"/>
      <c r="H103" s="2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1"/>
      <c r="H104" s="2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1"/>
      <c r="H105" s="2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1"/>
      <c r="H106" s="2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1"/>
      <c r="H107" s="2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1"/>
      <c r="H108" s="2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1"/>
      <c r="E109" s="1"/>
      <c r="F109" s="1"/>
      <c r="G109" s="1"/>
      <c r="H109" s="2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1"/>
      <c r="D110" s="1"/>
      <c r="E110" s="1"/>
      <c r="F110" s="1"/>
      <c r="G110" s="1"/>
      <c r="H110" s="2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1"/>
      <c r="D111" s="1"/>
      <c r="E111" s="1"/>
      <c r="F111" s="1"/>
      <c r="G111" s="1"/>
      <c r="H111" s="2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1"/>
      <c r="D112" s="1"/>
      <c r="E112" s="1"/>
      <c r="F112" s="1"/>
      <c r="G112" s="1"/>
      <c r="H112" s="2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1"/>
      <c r="D113" s="1"/>
      <c r="E113" s="1"/>
      <c r="F113" s="1"/>
      <c r="G113" s="1"/>
      <c r="H113" s="2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1"/>
      <c r="E114" s="1"/>
      <c r="F114" s="1"/>
      <c r="G114" s="1"/>
      <c r="H114" s="2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1"/>
      <c r="E115" s="1"/>
      <c r="F115" s="1"/>
      <c r="G115" s="1"/>
      <c r="H115" s="2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1"/>
      <c r="H116" s="2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1"/>
      <c r="H117" s="2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1"/>
      <c r="C118" s="1"/>
      <c r="D118" s="1"/>
      <c r="E118" s="1"/>
      <c r="F118" s="1"/>
      <c r="G118" s="1"/>
      <c r="H118" s="2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1"/>
      <c r="D119" s="1"/>
      <c r="E119" s="1"/>
      <c r="F119" s="1"/>
      <c r="G119" s="1"/>
      <c r="H119" s="2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1"/>
      <c r="D120" s="1"/>
      <c r="E120" s="1"/>
      <c r="F120" s="1"/>
      <c r="G120" s="1"/>
      <c r="H120" s="2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1"/>
      <c r="D121" s="1"/>
      <c r="E121" s="1"/>
      <c r="F121" s="1"/>
      <c r="G121" s="1"/>
      <c r="H121" s="2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1"/>
      <c r="H122" s="2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1"/>
      <c r="H123" s="2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1"/>
      <c r="H124" s="2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1"/>
      <c r="H125" s="2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1"/>
      <c r="H126" s="2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1"/>
      <c r="H127" s="2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1"/>
      <c r="H128" s="2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1"/>
      <c r="H129" s="2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1"/>
      <c r="H130" s="2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1"/>
      <c r="H131" s="2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1"/>
      <c r="H132" s="2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1"/>
      <c r="H133" s="2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1"/>
      <c r="H134" s="2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1"/>
      <c r="H135" s="2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1"/>
      <c r="H136" s="2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1"/>
      <c r="H137" s="2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1"/>
      <c r="H138" s="2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1"/>
      <c r="H139" s="2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1"/>
      <c r="H140" s="2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1"/>
      <c r="H141" s="2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1"/>
      <c r="H142" s="2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1"/>
      <c r="H143" s="2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1"/>
      <c r="H144" s="2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1"/>
      <c r="H145" s="2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1"/>
      <c r="H146" s="2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1"/>
      <c r="H147" s="2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1"/>
      <c r="H148" s="2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1"/>
      <c r="H149" s="2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1"/>
      <c r="H150" s="2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1"/>
      <c r="H151" s="2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1"/>
      <c r="H152" s="2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1"/>
      <c r="H153" s="2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1"/>
      <c r="H154" s="2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1"/>
      <c r="H155" s="2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1"/>
      <c r="H156" s="2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1"/>
      <c r="H157" s="2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1"/>
      <c r="H158" s="2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1"/>
      <c r="H159" s="2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1"/>
      <c r="H160" s="2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1"/>
      <c r="H161" s="2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1"/>
      <c r="H162" s="2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1"/>
      <c r="H163" s="2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1"/>
      <c r="H164" s="2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1"/>
      <c r="H165" s="2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1"/>
      <c r="H166" s="2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1"/>
      <c r="H167" s="2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1"/>
      <c r="H168" s="2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1"/>
      <c r="H169" s="2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1"/>
      <c r="H170" s="2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1"/>
      <c r="H171" s="2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1"/>
      <c r="H172" s="2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1"/>
      <c r="H173" s="2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1"/>
      <c r="H174" s="2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1"/>
      <c r="H175" s="2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1"/>
      <c r="H176" s="2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1"/>
      <c r="H177" s="2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1"/>
      <c r="H178" s="2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1"/>
      <c r="H179" s="2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1"/>
      <c r="H180" s="2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1"/>
      <c r="H181" s="2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1"/>
      <c r="H182" s="2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1"/>
      <c r="H183" s="2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1"/>
      <c r="H184" s="2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1"/>
      <c r="H185" s="2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1"/>
      <c r="H186" s="2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1"/>
      <c r="H187" s="2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1"/>
      <c r="H188" s="2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1"/>
      <c r="H189" s="2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1"/>
      <c r="H190" s="2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1"/>
      <c r="H191" s="2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1"/>
      <c r="H192" s="2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1"/>
      <c r="H193" s="2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1"/>
      <c r="H194" s="2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1"/>
      <c r="H195" s="2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1"/>
      <c r="H196" s="2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1"/>
      <c r="H197" s="2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1"/>
      <c r="H198" s="2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1"/>
      <c r="H199" s="2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1"/>
      <c r="H200" s="2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1"/>
      <c r="H201" s="2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1"/>
      <c r="H202" s="2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1"/>
      <c r="H203" s="2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1"/>
      <c r="H204" s="2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1"/>
      <c r="H205" s="2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1"/>
      <c r="H206" s="2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1"/>
      <c r="H207" s="2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1"/>
      <c r="H208" s="2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1"/>
      <c r="H209" s="2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1"/>
      <c r="H210" s="2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1"/>
      <c r="H211" s="2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1"/>
      <c r="H212" s="2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1"/>
      <c r="H213" s="2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1"/>
      <c r="H214" s="2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1"/>
      <c r="H215" s="2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1"/>
      <c r="H216" s="2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1"/>
      <c r="H217" s="2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1"/>
      <c r="H218" s="2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1"/>
      <c r="H219" s="2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1"/>
      <c r="H220" s="2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1"/>
      <c r="H221" s="2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1"/>
      <c r="H222" s="2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1"/>
      <c r="H223" s="2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1"/>
      <c r="H224" s="2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1"/>
      <c r="H225" s="2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1"/>
      <c r="H226" s="2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1"/>
      <c r="H227" s="2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1"/>
      <c r="H228" s="2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1"/>
      <c r="H229" s="2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1"/>
      <c r="H230" s="2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1"/>
      <c r="H231" s="2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1"/>
      <c r="H232" s="2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1"/>
      <c r="H233" s="2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1"/>
      <c r="H234" s="2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1"/>
      <c r="H235" s="2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>
      <c r="A236" s="1"/>
      <c r="B236" s="1"/>
      <c r="C236" s="1"/>
      <c r="D236" s="1"/>
      <c r="E236" s="1"/>
      <c r="F236" s="1"/>
      <c r="G236" s="1"/>
      <c r="H236" s="2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>
      <c r="A237" s="1"/>
      <c r="B237" s="1"/>
      <c r="C237" s="1"/>
      <c r="D237" s="1"/>
      <c r="E237" s="1"/>
      <c r="F237" s="1"/>
      <c r="G237" s="1"/>
      <c r="H237" s="2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>
      <c r="A238" s="1"/>
      <c r="B238" s="1"/>
      <c r="C238" s="1"/>
      <c r="D238" s="1"/>
      <c r="E238" s="1"/>
      <c r="F238" s="1"/>
      <c r="G238" s="1"/>
      <c r="H238" s="2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>
      <c r="A239" s="1"/>
      <c r="B239" s="1"/>
      <c r="C239" s="1"/>
      <c r="D239" s="1"/>
      <c r="E239" s="1"/>
      <c r="F239" s="1"/>
      <c r="G239" s="1"/>
      <c r="H239" s="2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>
      <c r="A240" s="1"/>
      <c r="B240" s="1"/>
      <c r="C240" s="1"/>
      <c r="D240" s="1"/>
      <c r="E240" s="1"/>
      <c r="F240" s="1"/>
      <c r="G240" s="1"/>
      <c r="H240" s="2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>
      <c r="A241" s="1"/>
      <c r="B241" s="1"/>
      <c r="C241" s="1"/>
      <c r="D241" s="1"/>
      <c r="E241" s="1"/>
      <c r="F241" s="1"/>
      <c r="G241" s="1"/>
      <c r="H241" s="2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>
      <c r="A242" s="1"/>
      <c r="B242" s="1"/>
      <c r="C242" s="1"/>
      <c r="D242" s="1"/>
      <c r="E242" s="1"/>
      <c r="F242" s="1"/>
      <c r="G242" s="1"/>
      <c r="H242" s="2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>
      <c r="A243" s="1"/>
      <c r="B243" s="1"/>
      <c r="C243" s="1"/>
      <c r="D243" s="1"/>
      <c r="E243" s="1"/>
      <c r="F243" s="1"/>
      <c r="G243" s="1"/>
      <c r="H243" s="2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>
      <c r="A244" s="1"/>
      <c r="B244" s="1"/>
      <c r="C244" s="1"/>
      <c r="D244" s="1"/>
      <c r="E244" s="1"/>
      <c r="F244" s="1"/>
      <c r="G244" s="1"/>
      <c r="H244" s="2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>
      <c r="A245" s="1"/>
      <c r="B245" s="1"/>
      <c r="C245" s="1"/>
      <c r="D245" s="1"/>
      <c r="E245" s="1"/>
      <c r="F245" s="1"/>
      <c r="G245" s="1"/>
      <c r="H245" s="2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>
      <c r="A246" s="1"/>
      <c r="B246" s="1"/>
      <c r="C246" s="1"/>
      <c r="D246" s="1"/>
      <c r="E246" s="1"/>
      <c r="F246" s="1"/>
      <c r="G246" s="1"/>
      <c r="H246" s="2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>
      <c r="A247" s="1"/>
      <c r="B247" s="1"/>
      <c r="C247" s="1"/>
      <c r="D247" s="1"/>
      <c r="E247" s="1"/>
      <c r="F247" s="1"/>
      <c r="G247" s="1"/>
      <c r="H247" s="2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>
      <c r="A248" s="1"/>
      <c r="B248" s="1"/>
      <c r="C248" s="1"/>
      <c r="D248" s="1"/>
      <c r="E248" s="1"/>
      <c r="F248" s="1"/>
      <c r="G248" s="1"/>
      <c r="H248" s="2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>
      <c r="A249" s="1"/>
      <c r="B249" s="1"/>
      <c r="C249" s="1"/>
      <c r="D249" s="1"/>
      <c r="E249" s="1"/>
      <c r="F249" s="1"/>
      <c r="G249" s="1"/>
      <c r="H249" s="2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>
      <c r="A250" s="1"/>
      <c r="B250" s="1"/>
      <c r="C250" s="1"/>
      <c r="D250" s="1"/>
      <c r="E250" s="1"/>
      <c r="F250" s="1"/>
      <c r="G250" s="1"/>
      <c r="H250" s="2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>
      <c r="A251" s="1"/>
      <c r="B251" s="1"/>
      <c r="C251" s="1"/>
      <c r="D251" s="1"/>
      <c r="E251" s="1"/>
      <c r="F251" s="1"/>
      <c r="G251" s="1"/>
      <c r="H251" s="2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>
      <c r="A252" s="1"/>
      <c r="B252" s="1"/>
      <c r="C252" s="1"/>
      <c r="D252" s="1"/>
      <c r="E252" s="1"/>
      <c r="F252" s="1"/>
      <c r="G252" s="1"/>
      <c r="H252" s="2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>
      <c r="A253" s="1"/>
      <c r="B253" s="1"/>
      <c r="C253" s="1"/>
      <c r="D253" s="1"/>
      <c r="E253" s="1"/>
      <c r="F253" s="1"/>
      <c r="G253" s="1"/>
      <c r="H253" s="2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>
      <c r="A254" s="1"/>
      <c r="B254" s="1"/>
      <c r="C254" s="1"/>
      <c r="D254" s="1"/>
      <c r="E254" s="1"/>
      <c r="F254" s="1"/>
      <c r="G254" s="1"/>
      <c r="H254" s="2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>
      <c r="A255" s="1"/>
      <c r="B255" s="1"/>
      <c r="C255" s="1"/>
      <c r="D255" s="1"/>
      <c r="E255" s="1"/>
      <c r="F255" s="1"/>
      <c r="G255" s="1"/>
      <c r="H255" s="2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>
      <c r="A256" s="1"/>
      <c r="B256" s="1"/>
      <c r="C256" s="1"/>
      <c r="D256" s="1"/>
      <c r="E256" s="1"/>
      <c r="F256" s="1"/>
      <c r="G256" s="1"/>
      <c r="H256" s="2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>
      <c r="A257" s="1"/>
      <c r="B257" s="1"/>
      <c r="C257" s="1"/>
      <c r="D257" s="1"/>
      <c r="E257" s="1"/>
      <c r="F257" s="1"/>
      <c r="G257" s="1"/>
      <c r="H257" s="2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>
      <c r="A258" s="1"/>
      <c r="B258" s="1"/>
      <c r="C258" s="1"/>
      <c r="D258" s="1"/>
      <c r="E258" s="1"/>
      <c r="F258" s="1"/>
      <c r="G258" s="1"/>
      <c r="H258" s="2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>
      <c r="A259" s="1"/>
      <c r="B259" s="1"/>
      <c r="C259" s="1"/>
      <c r="D259" s="1"/>
      <c r="E259" s="1"/>
      <c r="F259" s="1"/>
      <c r="G259" s="1"/>
      <c r="H259" s="2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>
      <c r="A260" s="1"/>
      <c r="B260" s="1"/>
      <c r="C260" s="1"/>
      <c r="D260" s="1"/>
      <c r="E260" s="1"/>
      <c r="F260" s="1"/>
      <c r="G260" s="1"/>
      <c r="H260" s="2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>
      <c r="A261" s="1"/>
      <c r="B261" s="1"/>
      <c r="C261" s="1"/>
      <c r="D261" s="1"/>
      <c r="E261" s="1"/>
      <c r="F261" s="1"/>
      <c r="G261" s="1"/>
      <c r="H261" s="2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>
      <c r="A262" s="1"/>
      <c r="B262" s="1"/>
      <c r="C262" s="1"/>
      <c r="D262" s="1"/>
      <c r="E262" s="1"/>
      <c r="F262" s="1"/>
      <c r="G262" s="1"/>
      <c r="H262" s="2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>
      <c r="A263" s="1"/>
      <c r="B263" s="1"/>
      <c r="C263" s="1"/>
      <c r="D263" s="1"/>
      <c r="E263" s="1"/>
      <c r="F263" s="1"/>
      <c r="G263" s="1"/>
      <c r="H263" s="2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>
      <c r="A264" s="1"/>
      <c r="B264" s="1"/>
      <c r="C264" s="1"/>
      <c r="D264" s="1"/>
      <c r="E264" s="1"/>
      <c r="F264" s="1"/>
      <c r="G264" s="1"/>
      <c r="H264" s="2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>
      <c r="A265" s="1"/>
      <c r="B265" s="1"/>
      <c r="C265" s="1"/>
      <c r="D265" s="1"/>
      <c r="E265" s="1"/>
      <c r="F265" s="1"/>
      <c r="G265" s="1"/>
      <c r="H265" s="2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>
      <c r="A266" s="1"/>
      <c r="B266" s="1"/>
      <c r="C266" s="1"/>
      <c r="D266" s="1"/>
      <c r="E266" s="1"/>
      <c r="F266" s="1"/>
      <c r="G266" s="1"/>
      <c r="H266" s="2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>
      <c r="A267" s="1"/>
      <c r="B267" s="1"/>
      <c r="C267" s="1"/>
      <c r="D267" s="1"/>
      <c r="E267" s="1"/>
      <c r="F267" s="1"/>
      <c r="G267" s="1"/>
      <c r="H267" s="2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>
      <c r="A268" s="1"/>
      <c r="B268" s="1"/>
      <c r="C268" s="1"/>
      <c r="D268" s="1"/>
      <c r="E268" s="1"/>
      <c r="F268" s="1"/>
      <c r="G268" s="1"/>
      <c r="H268" s="2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>
      <c r="A269" s="1"/>
      <c r="B269" s="1"/>
      <c r="C269" s="1"/>
      <c r="D269" s="1"/>
      <c r="E269" s="1"/>
      <c r="F269" s="1"/>
      <c r="G269" s="1"/>
      <c r="H269" s="2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>
      <c r="A270" s="1"/>
      <c r="B270" s="1"/>
      <c r="C270" s="1"/>
      <c r="D270" s="1"/>
      <c r="E270" s="1"/>
      <c r="F270" s="1"/>
      <c r="G270" s="1"/>
      <c r="H270" s="2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>
      <c r="A271" s="1"/>
      <c r="B271" s="1"/>
      <c r="C271" s="1"/>
      <c r="D271" s="1"/>
      <c r="E271" s="1"/>
      <c r="F271" s="1"/>
      <c r="G271" s="1"/>
      <c r="H271" s="2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>
      <c r="A272" s="1"/>
      <c r="B272" s="1"/>
      <c r="C272" s="1"/>
      <c r="D272" s="1"/>
      <c r="E272" s="1"/>
      <c r="F272" s="1"/>
      <c r="G272" s="1"/>
      <c r="H272" s="2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>
      <c r="A273" s="1"/>
      <c r="B273" s="1"/>
      <c r="C273" s="1"/>
      <c r="D273" s="1"/>
      <c r="E273" s="1"/>
      <c r="F273" s="1"/>
      <c r="G273" s="1"/>
      <c r="H273" s="2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>
      <c r="A274" s="1"/>
      <c r="B274" s="1"/>
      <c r="C274" s="1"/>
      <c r="D274" s="1"/>
      <c r="E274" s="1"/>
      <c r="F274" s="1"/>
      <c r="G274" s="1"/>
      <c r="H274" s="2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>
      <c r="A275" s="1"/>
      <c r="B275" s="1"/>
      <c r="C275" s="1"/>
      <c r="D275" s="1"/>
      <c r="E275" s="1"/>
      <c r="F275" s="1"/>
      <c r="G275" s="1"/>
      <c r="H275" s="2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>
      <c r="A276" s="1"/>
      <c r="B276" s="1"/>
      <c r="C276" s="1"/>
      <c r="D276" s="1"/>
      <c r="E276" s="1"/>
      <c r="F276" s="1"/>
      <c r="G276" s="1"/>
      <c r="H276" s="2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>
      <c r="A277" s="1"/>
      <c r="B277" s="1"/>
      <c r="C277" s="1"/>
      <c r="D277" s="1"/>
      <c r="E277" s="1"/>
      <c r="F277" s="1"/>
      <c r="G277" s="1"/>
      <c r="H277" s="2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>
      <c r="A278" s="1"/>
      <c r="B278" s="1"/>
      <c r="C278" s="1"/>
      <c r="D278" s="1"/>
      <c r="E278" s="1"/>
      <c r="F278" s="1"/>
      <c r="G278" s="1"/>
      <c r="H278" s="2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>
      <c r="A279" s="1"/>
      <c r="B279" s="1"/>
      <c r="C279" s="1"/>
      <c r="D279" s="1"/>
      <c r="E279" s="1"/>
      <c r="F279" s="1"/>
      <c r="G279" s="1"/>
      <c r="H279" s="2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>
      <c r="A280" s="1"/>
      <c r="B280" s="1"/>
      <c r="C280" s="1"/>
      <c r="D280" s="1"/>
      <c r="E280" s="1"/>
      <c r="F280" s="1"/>
      <c r="G280" s="1"/>
      <c r="H280" s="2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>
      <c r="A281" s="1"/>
      <c r="B281" s="1"/>
      <c r="C281" s="1"/>
      <c r="D281" s="1"/>
      <c r="E281" s="1"/>
      <c r="F281" s="1"/>
      <c r="G281" s="1"/>
      <c r="H281" s="2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>
      <c r="A282" s="1"/>
      <c r="B282" s="1"/>
      <c r="C282" s="1"/>
      <c r="D282" s="1"/>
      <c r="E282" s="1"/>
      <c r="F282" s="1"/>
      <c r="G282" s="1"/>
      <c r="H282" s="2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>
      <c r="A283" s="1"/>
      <c r="B283" s="1"/>
      <c r="C283" s="1"/>
      <c r="D283" s="1"/>
      <c r="E283" s="1"/>
      <c r="F283" s="1"/>
      <c r="G283" s="1"/>
      <c r="H283" s="2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>
      <c r="A284" s="1"/>
      <c r="B284" s="1"/>
      <c r="C284" s="1"/>
      <c r="D284" s="1"/>
      <c r="E284" s="1"/>
      <c r="F284" s="1"/>
      <c r="G284" s="1"/>
      <c r="H284" s="2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>
      <c r="A285" s="1"/>
      <c r="B285" s="1"/>
      <c r="C285" s="1"/>
      <c r="D285" s="1"/>
      <c r="E285" s="1"/>
      <c r="F285" s="1"/>
      <c r="G285" s="1"/>
      <c r="H285" s="2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>
      <c r="A286" s="1"/>
      <c r="B286" s="1"/>
      <c r="C286" s="1"/>
      <c r="D286" s="1"/>
      <c r="E286" s="1"/>
      <c r="F286" s="1"/>
      <c r="G286" s="1"/>
      <c r="H286" s="2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>
      <c r="A287" s="1"/>
      <c r="B287" s="1"/>
      <c r="C287" s="1"/>
      <c r="D287" s="1"/>
      <c r="E287" s="1"/>
      <c r="F287" s="1"/>
      <c r="G287" s="1"/>
      <c r="H287" s="2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>
      <c r="A288" s="1"/>
      <c r="B288" s="1"/>
      <c r="C288" s="1"/>
      <c r="D288" s="1"/>
      <c r="E288" s="1"/>
      <c r="F288" s="1"/>
      <c r="G288" s="1"/>
      <c r="H288" s="2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>
      <c r="A289" s="1"/>
      <c r="B289" s="1"/>
      <c r="C289" s="1"/>
      <c r="D289" s="1"/>
      <c r="E289" s="1"/>
      <c r="F289" s="1"/>
      <c r="G289" s="1"/>
      <c r="H289" s="2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>
      <c r="A290" s="1"/>
      <c r="B290" s="1"/>
      <c r="C290" s="1"/>
      <c r="D290" s="1"/>
      <c r="E290" s="1"/>
      <c r="F290" s="1"/>
      <c r="G290" s="1"/>
      <c r="H290" s="2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>
      <c r="A291" s="1"/>
      <c r="B291" s="1"/>
      <c r="C291" s="1"/>
      <c r="D291" s="1"/>
      <c r="E291" s="1"/>
      <c r="F291" s="1"/>
      <c r="G291" s="1"/>
      <c r="H291" s="2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>
      <c r="A292" s="1"/>
      <c r="B292" s="1"/>
      <c r="C292" s="1"/>
      <c r="D292" s="1"/>
      <c r="E292" s="1"/>
      <c r="F292" s="1"/>
      <c r="G292" s="1"/>
      <c r="H292" s="2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>
      <c r="A293" s="1"/>
      <c r="B293" s="1"/>
      <c r="C293" s="1"/>
      <c r="D293" s="1"/>
      <c r="E293" s="1"/>
      <c r="F293" s="1"/>
      <c r="G293" s="1"/>
      <c r="H293" s="2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>
      <c r="A294" s="1"/>
      <c r="B294" s="1"/>
      <c r="C294" s="1"/>
      <c r="D294" s="1"/>
      <c r="E294" s="1"/>
      <c r="F294" s="1"/>
      <c r="G294" s="1"/>
      <c r="H294" s="2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>
      <c r="A295" s="1"/>
      <c r="B295" s="1"/>
      <c r="C295" s="1"/>
      <c r="D295" s="1"/>
      <c r="E295" s="1"/>
      <c r="F295" s="1"/>
      <c r="G295" s="1"/>
      <c r="H295" s="2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>
      <c r="A296" s="1"/>
      <c r="B296" s="1"/>
      <c r="C296" s="1"/>
      <c r="D296" s="1"/>
      <c r="E296" s="1"/>
      <c r="F296" s="1"/>
      <c r="G296" s="1"/>
      <c r="H296" s="2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>
      <c r="A297" s="1"/>
      <c r="B297" s="1"/>
      <c r="C297" s="1"/>
      <c r="D297" s="1"/>
      <c r="E297" s="1"/>
      <c r="F297" s="1"/>
      <c r="G297" s="1"/>
      <c r="H297" s="2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>
      <c r="A298" s="1"/>
      <c r="B298" s="1"/>
      <c r="C298" s="1"/>
      <c r="D298" s="1"/>
      <c r="E298" s="1"/>
      <c r="F298" s="1"/>
      <c r="G298" s="1"/>
      <c r="H298" s="2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>
      <c r="A299" s="1"/>
      <c r="B299" s="1"/>
      <c r="C299" s="1"/>
      <c r="D299" s="1"/>
      <c r="E299" s="1"/>
      <c r="F299" s="1"/>
      <c r="G299" s="1"/>
      <c r="H299" s="2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>
      <c r="A300" s="1"/>
      <c r="B300" s="1"/>
      <c r="C300" s="1"/>
      <c r="D300" s="1"/>
      <c r="E300" s="1"/>
      <c r="F300" s="1"/>
      <c r="G300" s="1"/>
      <c r="H300" s="2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>
      <c r="A301" s="1"/>
      <c r="B301" s="1"/>
      <c r="C301" s="1"/>
      <c r="D301" s="1"/>
      <c r="E301" s="1"/>
      <c r="F301" s="1"/>
      <c r="G301" s="1"/>
      <c r="H301" s="2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>
      <c r="A302" s="1"/>
      <c r="B302" s="1"/>
      <c r="C302" s="1"/>
      <c r="D302" s="1"/>
      <c r="E302" s="1"/>
      <c r="F302" s="1"/>
      <c r="G302" s="1"/>
      <c r="H302" s="2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>
      <c r="A303" s="1"/>
      <c r="B303" s="1"/>
      <c r="C303" s="1"/>
      <c r="D303" s="1"/>
      <c r="E303" s="1"/>
      <c r="F303" s="1"/>
      <c r="G303" s="1"/>
      <c r="H303" s="2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>
      <c r="A304" s="1"/>
      <c r="B304" s="1"/>
      <c r="C304" s="1"/>
      <c r="D304" s="1"/>
      <c r="E304" s="1"/>
      <c r="F304" s="1"/>
      <c r="G304" s="1"/>
      <c r="H304" s="2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>
      <c r="A305" s="1"/>
      <c r="B305" s="1"/>
      <c r="C305" s="1"/>
      <c r="D305" s="1"/>
      <c r="E305" s="1"/>
      <c r="F305" s="1"/>
      <c r="G305" s="1"/>
      <c r="H305" s="2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>
      <c r="A306" s="1"/>
      <c r="B306" s="1"/>
      <c r="C306" s="1"/>
      <c r="D306" s="1"/>
      <c r="E306" s="1"/>
      <c r="F306" s="1"/>
      <c r="G306" s="1"/>
      <c r="H306" s="2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>
      <c r="A307" s="1"/>
      <c r="B307" s="1"/>
      <c r="C307" s="1"/>
      <c r="D307" s="1"/>
      <c r="E307" s="1"/>
      <c r="F307" s="1"/>
      <c r="G307" s="1"/>
      <c r="H307" s="2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>
      <c r="A308" s="1"/>
      <c r="B308" s="1"/>
      <c r="C308" s="1"/>
      <c r="D308" s="1"/>
      <c r="E308" s="1"/>
      <c r="F308" s="1"/>
      <c r="G308" s="1"/>
      <c r="H308" s="2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>
      <c r="A309" s="1"/>
      <c r="B309" s="1"/>
      <c r="C309" s="1"/>
      <c r="D309" s="1"/>
      <c r="E309" s="1"/>
      <c r="F309" s="1"/>
      <c r="G309" s="1"/>
      <c r="H309" s="2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>
      <c r="A310" s="1"/>
      <c r="B310" s="1"/>
      <c r="C310" s="1"/>
      <c r="D310" s="1"/>
      <c r="E310" s="1"/>
      <c r="F310" s="1"/>
      <c r="G310" s="1"/>
      <c r="H310" s="2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>
      <c r="A311" s="1"/>
      <c r="B311" s="1"/>
      <c r="C311" s="1"/>
      <c r="D311" s="1"/>
      <c r="E311" s="1"/>
      <c r="F311" s="1"/>
      <c r="G311" s="1"/>
      <c r="H311" s="2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>
      <c r="A312" s="1"/>
      <c r="B312" s="1"/>
      <c r="C312" s="1"/>
      <c r="D312" s="1"/>
      <c r="E312" s="1"/>
      <c r="F312" s="1"/>
      <c r="G312" s="1"/>
      <c r="H312" s="2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>
      <c r="A313" s="1"/>
      <c r="B313" s="1"/>
      <c r="C313" s="1"/>
      <c r="D313" s="1"/>
      <c r="E313" s="1"/>
      <c r="F313" s="1"/>
      <c r="G313" s="1"/>
      <c r="H313" s="2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>
      <c r="A314" s="1"/>
      <c r="B314" s="1"/>
      <c r="C314" s="1"/>
      <c r="D314" s="1"/>
      <c r="E314" s="1"/>
      <c r="F314" s="1"/>
      <c r="G314" s="1"/>
      <c r="H314" s="2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>
      <c r="A315" s="1"/>
      <c r="B315" s="1"/>
      <c r="C315" s="1"/>
      <c r="D315" s="1"/>
      <c r="E315" s="1"/>
      <c r="F315" s="1"/>
      <c r="G315" s="1"/>
      <c r="H315" s="2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>
      <c r="A316" s="1"/>
      <c r="B316" s="1"/>
      <c r="C316" s="1"/>
      <c r="D316" s="1"/>
      <c r="E316" s="1"/>
      <c r="F316" s="1"/>
      <c r="G316" s="1"/>
      <c r="H316" s="2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>
      <c r="A317" s="1"/>
      <c r="B317" s="1"/>
      <c r="C317" s="1"/>
      <c r="D317" s="1"/>
      <c r="E317" s="1"/>
      <c r="F317" s="1"/>
      <c r="G317" s="1"/>
      <c r="H317" s="2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>
      <c r="A318" s="1"/>
      <c r="B318" s="1"/>
      <c r="C318" s="1"/>
      <c r="D318" s="1"/>
      <c r="E318" s="1"/>
      <c r="F318" s="1"/>
      <c r="G318" s="1"/>
      <c r="H318" s="2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>
      <c r="A319" s="1"/>
      <c r="B319" s="1"/>
      <c r="C319" s="1"/>
      <c r="D319" s="1"/>
      <c r="E319" s="1"/>
      <c r="F319" s="1"/>
      <c r="G319" s="1"/>
      <c r="H319" s="2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>
      <c r="A320" s="1"/>
      <c r="B320" s="1"/>
      <c r="C320" s="1"/>
      <c r="D320" s="1"/>
      <c r="E320" s="1"/>
      <c r="F320" s="1"/>
      <c r="G320" s="1"/>
      <c r="H320" s="2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>
      <c r="A321" s="1"/>
      <c r="B321" s="1"/>
      <c r="C321" s="1"/>
      <c r="D321" s="1"/>
      <c r="E321" s="1"/>
      <c r="F321" s="1"/>
      <c r="G321" s="1"/>
      <c r="H321" s="2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>
      <c r="A322" s="1"/>
      <c r="B322" s="1"/>
      <c r="C322" s="1"/>
      <c r="D322" s="1"/>
      <c r="E322" s="1"/>
      <c r="F322" s="1"/>
      <c r="G322" s="1"/>
      <c r="H322" s="2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>
      <c r="A323" s="1"/>
      <c r="B323" s="1"/>
      <c r="C323" s="1"/>
      <c r="D323" s="1"/>
      <c r="E323" s="1"/>
      <c r="F323" s="1"/>
      <c r="G323" s="1"/>
      <c r="H323" s="2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>
      <c r="A324" s="1"/>
      <c r="B324" s="1"/>
      <c r="C324" s="1"/>
      <c r="D324" s="1"/>
      <c r="E324" s="1"/>
      <c r="F324" s="1"/>
      <c r="G324" s="1"/>
      <c r="H324" s="2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>
      <c r="A325" s="1"/>
      <c r="B325" s="1"/>
      <c r="C325" s="1"/>
      <c r="D325" s="1"/>
      <c r="E325" s="1"/>
      <c r="F325" s="1"/>
      <c r="G325" s="1"/>
      <c r="H325" s="2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>
      <c r="A326" s="1"/>
      <c r="B326" s="1"/>
      <c r="C326" s="1"/>
      <c r="D326" s="1"/>
      <c r="E326" s="1"/>
      <c r="F326" s="1"/>
      <c r="G326" s="1"/>
      <c r="H326" s="2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>
      <c r="A327" s="1"/>
      <c r="B327" s="1"/>
      <c r="C327" s="1"/>
      <c r="D327" s="1"/>
      <c r="E327" s="1"/>
      <c r="F327" s="1"/>
      <c r="G327" s="1"/>
      <c r="H327" s="2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>
      <c r="A328" s="1"/>
      <c r="B328" s="1"/>
      <c r="C328" s="1"/>
      <c r="D328" s="1"/>
      <c r="E328" s="1"/>
      <c r="F328" s="1"/>
      <c r="G328" s="1"/>
      <c r="H328" s="2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>
      <c r="A329" s="1"/>
      <c r="B329" s="1"/>
      <c r="C329" s="1"/>
      <c r="D329" s="1"/>
      <c r="E329" s="1"/>
      <c r="F329" s="1"/>
      <c r="G329" s="1"/>
      <c r="H329" s="2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>
      <c r="A330" s="1"/>
      <c r="B330" s="1"/>
      <c r="C330" s="1"/>
      <c r="D330" s="1"/>
      <c r="E330" s="1"/>
      <c r="F330" s="1"/>
      <c r="G330" s="1"/>
      <c r="H330" s="2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>
      <c r="A331" s="1"/>
      <c r="B331" s="1"/>
      <c r="C331" s="1"/>
      <c r="D331" s="1"/>
      <c r="E331" s="1"/>
      <c r="F331" s="1"/>
      <c r="G331" s="1"/>
      <c r="H331" s="2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>
      <c r="A332" s="1"/>
      <c r="B332" s="1"/>
      <c r="C332" s="1"/>
      <c r="D332" s="1"/>
      <c r="E332" s="1"/>
      <c r="F332" s="1"/>
      <c r="G332" s="1"/>
      <c r="H332" s="2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>
      <c r="A333" s="1"/>
      <c r="B333" s="1"/>
      <c r="C333" s="1"/>
      <c r="D333" s="1"/>
      <c r="E333" s="1"/>
      <c r="F333" s="1"/>
      <c r="G333" s="1"/>
      <c r="H333" s="2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>
      <c r="A334" s="1"/>
      <c r="B334" s="1"/>
      <c r="C334" s="1"/>
      <c r="D334" s="1"/>
      <c r="E334" s="1"/>
      <c r="F334" s="1"/>
      <c r="G334" s="1"/>
      <c r="H334" s="2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>
      <c r="A335" s="1"/>
      <c r="B335" s="1"/>
      <c r="C335" s="1"/>
      <c r="D335" s="1"/>
      <c r="E335" s="1"/>
      <c r="F335" s="1"/>
      <c r="G335" s="1"/>
      <c r="H335" s="2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>
      <c r="A336" s="1"/>
      <c r="B336" s="1"/>
      <c r="C336" s="1"/>
      <c r="D336" s="1"/>
      <c r="E336" s="1"/>
      <c r="F336" s="1"/>
      <c r="G336" s="1"/>
      <c r="H336" s="2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>
      <c r="A337" s="1"/>
      <c r="B337" s="1"/>
      <c r="C337" s="1"/>
      <c r="D337" s="1"/>
      <c r="E337" s="1"/>
      <c r="F337" s="1"/>
      <c r="G337" s="1"/>
      <c r="H337" s="2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>
      <c r="A338" s="1"/>
      <c r="B338" s="1"/>
      <c r="C338" s="1"/>
      <c r="D338" s="1"/>
      <c r="E338" s="1"/>
      <c r="F338" s="1"/>
      <c r="G338" s="1"/>
      <c r="H338" s="2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>
      <c r="A339" s="1"/>
      <c r="B339" s="1"/>
      <c r="C339" s="1"/>
      <c r="D339" s="1"/>
      <c r="E339" s="1"/>
      <c r="F339" s="1"/>
      <c r="G339" s="1"/>
      <c r="H339" s="2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>
      <c r="A340" s="1"/>
      <c r="B340" s="1"/>
      <c r="C340" s="1"/>
      <c r="D340" s="1"/>
      <c r="E340" s="1"/>
      <c r="F340" s="1"/>
      <c r="G340" s="1"/>
      <c r="H340" s="2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>
      <c r="A341" s="1"/>
      <c r="B341" s="1"/>
      <c r="C341" s="1"/>
      <c r="D341" s="1"/>
      <c r="E341" s="1"/>
      <c r="F341" s="1"/>
      <c r="G341" s="1"/>
      <c r="H341" s="2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>
      <c r="A342" s="1"/>
      <c r="B342" s="1"/>
      <c r="C342" s="1"/>
      <c r="D342" s="1"/>
      <c r="E342" s="1"/>
      <c r="F342" s="1"/>
      <c r="G342" s="1"/>
      <c r="H342" s="2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>
      <c r="A343" s="1"/>
      <c r="B343" s="1"/>
      <c r="C343" s="1"/>
      <c r="D343" s="1"/>
      <c r="E343" s="1"/>
      <c r="F343" s="1"/>
      <c r="G343" s="1"/>
      <c r="H343" s="2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>
      <c r="A344" s="1"/>
      <c r="B344" s="1"/>
      <c r="C344" s="1"/>
      <c r="D344" s="1"/>
      <c r="E344" s="1"/>
      <c r="F344" s="1"/>
      <c r="G344" s="1"/>
      <c r="H344" s="2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>
      <c r="A345" s="1"/>
      <c r="B345" s="1"/>
      <c r="C345" s="1"/>
      <c r="D345" s="1"/>
      <c r="E345" s="1"/>
      <c r="F345" s="1"/>
      <c r="G345" s="1"/>
      <c r="H345" s="2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>
      <c r="A346" s="1"/>
      <c r="B346" s="1"/>
      <c r="C346" s="1"/>
      <c r="D346" s="1"/>
      <c r="E346" s="1"/>
      <c r="F346" s="1"/>
      <c r="G346" s="1"/>
      <c r="H346" s="2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>
      <c r="A347" s="1"/>
      <c r="B347" s="1"/>
      <c r="C347" s="1"/>
      <c r="D347" s="1"/>
      <c r="E347" s="1"/>
      <c r="F347" s="1"/>
      <c r="G347" s="1"/>
      <c r="H347" s="2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>
      <c r="A348" s="1"/>
      <c r="B348" s="1"/>
      <c r="C348" s="1"/>
      <c r="D348" s="1"/>
      <c r="E348" s="1"/>
      <c r="F348" s="1"/>
      <c r="G348" s="1"/>
      <c r="H348" s="2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>
      <c r="A349" s="1"/>
      <c r="B349" s="1"/>
      <c r="C349" s="1"/>
      <c r="D349" s="1"/>
      <c r="E349" s="1"/>
      <c r="F349" s="1"/>
      <c r="G349" s="1"/>
      <c r="H349" s="2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>
      <c r="A350" s="1"/>
      <c r="B350" s="1"/>
      <c r="C350" s="1"/>
      <c r="D350" s="1"/>
      <c r="E350" s="1"/>
      <c r="F350" s="1"/>
      <c r="G350" s="1"/>
      <c r="H350" s="2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>
      <c r="A351" s="1"/>
      <c r="B351" s="1"/>
      <c r="C351" s="1"/>
      <c r="D351" s="1"/>
      <c r="E351" s="1"/>
      <c r="F351" s="1"/>
      <c r="G351" s="1"/>
      <c r="H351" s="2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>
      <c r="A352" s="1"/>
      <c r="B352" s="1"/>
      <c r="C352" s="1"/>
      <c r="D352" s="1"/>
      <c r="E352" s="1"/>
      <c r="F352" s="1"/>
      <c r="G352" s="1"/>
      <c r="H352" s="2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>
      <c r="A353" s="1"/>
      <c r="B353" s="1"/>
      <c r="C353" s="1"/>
      <c r="D353" s="1"/>
      <c r="E353" s="1"/>
      <c r="F353" s="1"/>
      <c r="G353" s="1"/>
      <c r="H353" s="2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>
      <c r="A354" s="1"/>
      <c r="B354" s="1"/>
      <c r="C354" s="1"/>
      <c r="D354" s="1"/>
      <c r="E354" s="1"/>
      <c r="F354" s="1"/>
      <c r="G354" s="1"/>
      <c r="H354" s="2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>
      <c r="A355" s="1"/>
      <c r="B355" s="1"/>
      <c r="C355" s="1"/>
      <c r="D355" s="1"/>
      <c r="E355" s="1"/>
      <c r="F355" s="1"/>
      <c r="G355" s="1"/>
      <c r="H355" s="2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>
      <c r="A356" s="1"/>
      <c r="B356" s="1"/>
      <c r="C356" s="1"/>
      <c r="D356" s="1"/>
      <c r="E356" s="1"/>
      <c r="F356" s="1"/>
      <c r="G356" s="1"/>
      <c r="H356" s="2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>
      <c r="A357" s="1"/>
      <c r="B357" s="1"/>
      <c r="C357" s="1"/>
      <c r="D357" s="1"/>
      <c r="E357" s="1"/>
      <c r="F357" s="1"/>
      <c r="G357" s="1"/>
      <c r="H357" s="2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>
      <c r="A358" s="1"/>
      <c r="B358" s="1"/>
      <c r="C358" s="1"/>
      <c r="D358" s="1"/>
      <c r="E358" s="1"/>
      <c r="F358" s="1"/>
      <c r="G358" s="1"/>
      <c r="H358" s="2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>
      <c r="A359" s="1"/>
      <c r="B359" s="1"/>
      <c r="C359" s="1"/>
      <c r="D359" s="1"/>
      <c r="E359" s="1"/>
      <c r="F359" s="1"/>
      <c r="G359" s="1"/>
      <c r="H359" s="2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>
      <c r="A360" s="1"/>
      <c r="B360" s="1"/>
      <c r="C360" s="1"/>
      <c r="D360" s="1"/>
      <c r="E360" s="1"/>
      <c r="F360" s="1"/>
      <c r="G360" s="1"/>
      <c r="H360" s="2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>
      <c r="A361" s="1"/>
      <c r="B361" s="1"/>
      <c r="C361" s="1"/>
      <c r="D361" s="1"/>
      <c r="E361" s="1"/>
      <c r="F361" s="1"/>
      <c r="G361" s="1"/>
      <c r="H361" s="2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>
      <c r="A362" s="1"/>
      <c r="B362" s="1"/>
      <c r="C362" s="1"/>
      <c r="D362" s="1"/>
      <c r="E362" s="1"/>
      <c r="F362" s="1"/>
      <c r="G362" s="1"/>
      <c r="H362" s="2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>
      <c r="A363" s="1"/>
      <c r="B363" s="1"/>
      <c r="C363" s="1"/>
      <c r="D363" s="1"/>
      <c r="E363" s="1"/>
      <c r="F363" s="1"/>
      <c r="G363" s="1"/>
      <c r="H363" s="2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>
      <c r="A364" s="1"/>
      <c r="B364" s="1"/>
      <c r="C364" s="1"/>
      <c r="D364" s="1"/>
      <c r="E364" s="1"/>
      <c r="F364" s="1"/>
      <c r="G364" s="1"/>
      <c r="H364" s="2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>
      <c r="A365" s="1"/>
      <c r="B365" s="1"/>
      <c r="C365" s="1"/>
      <c r="D365" s="1"/>
      <c r="E365" s="1"/>
      <c r="F365" s="1"/>
      <c r="G365" s="1"/>
      <c r="H365" s="2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>
      <c r="A366" s="1"/>
      <c r="B366" s="1"/>
      <c r="C366" s="1"/>
      <c r="D366" s="1"/>
      <c r="E366" s="1"/>
      <c r="F366" s="1"/>
      <c r="G366" s="1"/>
      <c r="H366" s="2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>
      <c r="A367" s="1"/>
      <c r="B367" s="1"/>
      <c r="C367" s="1"/>
      <c r="D367" s="1"/>
      <c r="E367" s="1"/>
      <c r="F367" s="1"/>
      <c r="G367" s="1"/>
      <c r="H367" s="2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>
      <c r="A368" s="1"/>
      <c r="B368" s="1"/>
      <c r="C368" s="1"/>
      <c r="D368" s="1"/>
      <c r="E368" s="1"/>
      <c r="F368" s="1"/>
      <c r="G368" s="1"/>
      <c r="H368" s="2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>
      <c r="A369" s="1"/>
      <c r="B369" s="1"/>
      <c r="C369" s="1"/>
      <c r="D369" s="1"/>
      <c r="E369" s="1"/>
      <c r="F369" s="1"/>
      <c r="G369" s="1"/>
      <c r="H369" s="2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>
      <c r="A370" s="1"/>
      <c r="B370" s="1"/>
      <c r="C370" s="1"/>
      <c r="D370" s="1"/>
      <c r="E370" s="1"/>
      <c r="F370" s="1"/>
      <c r="G370" s="1"/>
      <c r="H370" s="2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>
      <c r="A371" s="1"/>
      <c r="B371" s="1"/>
      <c r="C371" s="1"/>
      <c r="D371" s="1"/>
      <c r="E371" s="1"/>
      <c r="F371" s="1"/>
      <c r="G371" s="1"/>
      <c r="H371" s="2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>
      <c r="A372" s="1"/>
      <c r="B372" s="1"/>
      <c r="C372" s="1"/>
      <c r="D372" s="1"/>
      <c r="E372" s="1"/>
      <c r="F372" s="1"/>
      <c r="G372" s="1"/>
      <c r="H372" s="2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>
      <c r="A373" s="1"/>
      <c r="B373" s="1"/>
      <c r="C373" s="1"/>
      <c r="D373" s="1"/>
      <c r="E373" s="1"/>
      <c r="F373" s="1"/>
      <c r="G373" s="1"/>
      <c r="H373" s="2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>
      <c r="A374" s="1"/>
      <c r="B374" s="1"/>
      <c r="C374" s="1"/>
      <c r="D374" s="1"/>
      <c r="E374" s="1"/>
      <c r="F374" s="1"/>
      <c r="G374" s="1"/>
      <c r="H374" s="2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>
      <c r="A375" s="1"/>
      <c r="B375" s="1"/>
      <c r="C375" s="1"/>
      <c r="D375" s="1"/>
      <c r="E375" s="1"/>
      <c r="F375" s="1"/>
      <c r="G375" s="1"/>
      <c r="H375" s="2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>
      <c r="A376" s="1"/>
      <c r="B376" s="1"/>
      <c r="C376" s="1"/>
      <c r="D376" s="1"/>
      <c r="E376" s="1"/>
      <c r="F376" s="1"/>
      <c r="G376" s="1"/>
      <c r="H376" s="2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>
      <c r="A377" s="1"/>
      <c r="B377" s="1"/>
      <c r="C377" s="1"/>
      <c r="D377" s="1"/>
      <c r="E377" s="1"/>
      <c r="F377" s="1"/>
      <c r="G377" s="1"/>
      <c r="H377" s="2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>
      <c r="A378" s="1"/>
      <c r="B378" s="1"/>
      <c r="C378" s="1"/>
      <c r="D378" s="1"/>
      <c r="E378" s="1"/>
      <c r="F378" s="1"/>
      <c r="G378" s="1"/>
      <c r="H378" s="2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>
      <c r="A379" s="1"/>
      <c r="B379" s="1"/>
      <c r="C379" s="1"/>
      <c r="D379" s="1"/>
      <c r="E379" s="1"/>
      <c r="F379" s="1"/>
      <c r="G379" s="1"/>
      <c r="H379" s="2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>
      <c r="A380" s="1"/>
      <c r="B380" s="1"/>
      <c r="C380" s="1"/>
      <c r="D380" s="1"/>
      <c r="E380" s="1"/>
      <c r="F380" s="1"/>
      <c r="G380" s="1"/>
      <c r="H380" s="2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>
      <c r="A381" s="1"/>
      <c r="B381" s="1"/>
      <c r="C381" s="1"/>
      <c r="D381" s="1"/>
      <c r="E381" s="1"/>
      <c r="F381" s="1"/>
      <c r="G381" s="1"/>
      <c r="H381" s="2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>
      <c r="A382" s="1"/>
      <c r="B382" s="1"/>
      <c r="C382" s="1"/>
      <c r="D382" s="1"/>
      <c r="E382" s="1"/>
      <c r="F382" s="1"/>
      <c r="G382" s="1"/>
      <c r="H382" s="2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>
      <c r="A383" s="1"/>
      <c r="B383" s="1"/>
      <c r="C383" s="1"/>
      <c r="D383" s="1"/>
      <c r="E383" s="1"/>
      <c r="F383" s="1"/>
      <c r="G383" s="1"/>
      <c r="H383" s="2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>
      <c r="A384" s="1"/>
      <c r="B384" s="1"/>
      <c r="C384" s="1"/>
      <c r="D384" s="1"/>
      <c r="E384" s="1"/>
      <c r="F384" s="1"/>
      <c r="G384" s="1"/>
      <c r="H384" s="2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>
      <c r="A385" s="1"/>
      <c r="B385" s="1"/>
      <c r="C385" s="1"/>
      <c r="D385" s="1"/>
      <c r="E385" s="1"/>
      <c r="F385" s="1"/>
      <c r="G385" s="1"/>
      <c r="H385" s="2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>
      <c r="A386" s="1"/>
      <c r="B386" s="1"/>
      <c r="C386" s="1"/>
      <c r="D386" s="1"/>
      <c r="E386" s="1"/>
      <c r="F386" s="1"/>
      <c r="G386" s="1"/>
      <c r="H386" s="2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>
      <c r="A387" s="1"/>
      <c r="B387" s="1"/>
      <c r="C387" s="1"/>
      <c r="D387" s="1"/>
      <c r="E387" s="1"/>
      <c r="F387" s="1"/>
      <c r="G387" s="1"/>
      <c r="H387" s="2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>
      <c r="A388" s="1"/>
      <c r="B388" s="1"/>
      <c r="C388" s="1"/>
      <c r="D388" s="1"/>
      <c r="E388" s="1"/>
      <c r="F388" s="1"/>
      <c r="G388" s="1"/>
      <c r="H388" s="2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>
      <c r="A389" s="1"/>
      <c r="B389" s="1"/>
      <c r="C389" s="1"/>
      <c r="D389" s="1"/>
      <c r="E389" s="1"/>
      <c r="F389" s="1"/>
      <c r="G389" s="1"/>
      <c r="H389" s="2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>
      <c r="A390" s="1"/>
      <c r="B390" s="1"/>
      <c r="C390" s="1"/>
      <c r="D390" s="1"/>
      <c r="E390" s="1"/>
      <c r="F390" s="1"/>
      <c r="G390" s="1"/>
      <c r="H390" s="2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>
      <c r="A391" s="1"/>
      <c r="B391" s="1"/>
      <c r="C391" s="1"/>
      <c r="D391" s="1"/>
      <c r="E391" s="1"/>
      <c r="F391" s="1"/>
      <c r="G391" s="1"/>
      <c r="H391" s="2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>
      <c r="A392" s="1"/>
      <c r="B392" s="1"/>
      <c r="C392" s="1"/>
      <c r="D392" s="1"/>
      <c r="E392" s="1"/>
      <c r="F392" s="1"/>
      <c r="G392" s="1"/>
      <c r="H392" s="2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>
      <c r="A393" s="1"/>
      <c r="B393" s="1"/>
      <c r="C393" s="1"/>
      <c r="D393" s="1"/>
      <c r="E393" s="1"/>
      <c r="F393" s="1"/>
      <c r="G393" s="1"/>
      <c r="H393" s="2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>
      <c r="A394" s="1"/>
      <c r="B394" s="1"/>
      <c r="C394" s="1"/>
      <c r="D394" s="1"/>
      <c r="E394" s="1"/>
      <c r="F394" s="1"/>
      <c r="G394" s="1"/>
      <c r="H394" s="2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>
      <c r="A395" s="1"/>
      <c r="B395" s="1"/>
      <c r="C395" s="1"/>
      <c r="D395" s="1"/>
      <c r="E395" s="1"/>
      <c r="F395" s="1"/>
      <c r="G395" s="1"/>
      <c r="H395" s="2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>
      <c r="A396" s="1"/>
      <c r="B396" s="1"/>
      <c r="C396" s="1"/>
      <c r="D396" s="1"/>
      <c r="E396" s="1"/>
      <c r="F396" s="1"/>
      <c r="G396" s="1"/>
      <c r="H396" s="2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>
      <c r="A397" s="1"/>
      <c r="B397" s="1"/>
      <c r="C397" s="1"/>
      <c r="D397" s="1"/>
      <c r="E397" s="1"/>
      <c r="F397" s="1"/>
      <c r="G397" s="1"/>
      <c r="H397" s="2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>
      <c r="A398" s="1"/>
      <c r="B398" s="1"/>
      <c r="C398" s="1"/>
      <c r="D398" s="1"/>
      <c r="E398" s="1"/>
      <c r="F398" s="1"/>
      <c r="G398" s="1"/>
      <c r="H398" s="2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>
      <c r="A399" s="1"/>
      <c r="B399" s="1"/>
      <c r="C399" s="1"/>
      <c r="D399" s="1"/>
      <c r="E399" s="1"/>
      <c r="F399" s="1"/>
      <c r="G399" s="1"/>
      <c r="H399" s="2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>
      <c r="A400" s="1"/>
      <c r="B400" s="1"/>
      <c r="C400" s="1"/>
      <c r="D400" s="1"/>
      <c r="E400" s="1"/>
      <c r="F400" s="1"/>
      <c r="G400" s="1"/>
      <c r="H400" s="2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>
      <c r="A401" s="1"/>
      <c r="B401" s="1"/>
      <c r="C401" s="1"/>
      <c r="D401" s="1"/>
      <c r="E401" s="1"/>
      <c r="F401" s="1"/>
      <c r="G401" s="1"/>
      <c r="H401" s="2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>
      <c r="A402" s="1"/>
      <c r="B402" s="1"/>
      <c r="C402" s="1"/>
      <c r="D402" s="1"/>
      <c r="E402" s="1"/>
      <c r="F402" s="1"/>
      <c r="G402" s="1"/>
      <c r="H402" s="2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>
      <c r="A403" s="1"/>
      <c r="B403" s="1"/>
      <c r="C403" s="1"/>
      <c r="D403" s="1"/>
      <c r="E403" s="1"/>
      <c r="F403" s="1"/>
      <c r="G403" s="1"/>
      <c r="H403" s="2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>
      <c r="A404" s="1"/>
      <c r="B404" s="1"/>
      <c r="C404" s="1"/>
      <c r="D404" s="1"/>
      <c r="E404" s="1"/>
      <c r="F404" s="1"/>
      <c r="G404" s="1"/>
      <c r="H404" s="2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>
      <c r="A405" s="1"/>
      <c r="B405" s="1"/>
      <c r="C405" s="1"/>
      <c r="D405" s="1"/>
      <c r="E405" s="1"/>
      <c r="F405" s="1"/>
      <c r="G405" s="1"/>
      <c r="H405" s="2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>
      <c r="A406" s="1"/>
      <c r="B406" s="1"/>
      <c r="C406" s="1"/>
      <c r="D406" s="1"/>
      <c r="E406" s="1"/>
      <c r="F406" s="1"/>
      <c r="G406" s="1"/>
      <c r="H406" s="2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>
      <c r="A407" s="1"/>
      <c r="B407" s="1"/>
      <c r="C407" s="1"/>
      <c r="D407" s="1"/>
      <c r="E407" s="1"/>
      <c r="F407" s="1"/>
      <c r="G407" s="1"/>
      <c r="H407" s="2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>
      <c r="A408" s="1"/>
      <c r="B408" s="1"/>
      <c r="C408" s="1"/>
      <c r="D408" s="1"/>
      <c r="E408" s="1"/>
      <c r="F408" s="1"/>
      <c r="G408" s="1"/>
      <c r="H408" s="2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>
      <c r="A409" s="1"/>
      <c r="B409" s="1"/>
      <c r="C409" s="1"/>
      <c r="D409" s="1"/>
      <c r="E409" s="1"/>
      <c r="F409" s="1"/>
      <c r="G409" s="1"/>
      <c r="H409" s="2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>
      <c r="A410" s="1"/>
      <c r="B410" s="1"/>
      <c r="C410" s="1"/>
      <c r="D410" s="1"/>
      <c r="E410" s="1"/>
      <c r="F410" s="1"/>
      <c r="G410" s="1"/>
      <c r="H410" s="2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>
      <c r="A411" s="1"/>
      <c r="B411" s="1"/>
      <c r="C411" s="1"/>
      <c r="D411" s="1"/>
      <c r="E411" s="1"/>
      <c r="F411" s="1"/>
      <c r="G411" s="1"/>
      <c r="H411" s="2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>
      <c r="A412" s="1"/>
      <c r="B412" s="1"/>
      <c r="C412" s="1"/>
      <c r="D412" s="1"/>
      <c r="E412" s="1"/>
      <c r="F412" s="1"/>
      <c r="G412" s="1"/>
      <c r="H412" s="2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>
      <c r="A413" s="1"/>
      <c r="B413" s="1"/>
      <c r="C413" s="1"/>
      <c r="D413" s="1"/>
      <c r="E413" s="1"/>
      <c r="F413" s="1"/>
      <c r="G413" s="1"/>
      <c r="H413" s="2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>
      <c r="A414" s="1"/>
      <c r="B414" s="1"/>
      <c r="C414" s="1"/>
      <c r="D414" s="1"/>
      <c r="E414" s="1"/>
      <c r="F414" s="1"/>
      <c r="G414" s="1"/>
      <c r="H414" s="2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>
      <c r="A415" s="1"/>
      <c r="B415" s="1"/>
      <c r="C415" s="1"/>
      <c r="D415" s="1"/>
      <c r="E415" s="1"/>
      <c r="F415" s="1"/>
      <c r="G415" s="1"/>
      <c r="H415" s="2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>
      <c r="A416" s="1"/>
      <c r="B416" s="1"/>
      <c r="C416" s="1"/>
      <c r="D416" s="1"/>
      <c r="E416" s="1"/>
      <c r="F416" s="1"/>
      <c r="G416" s="1"/>
      <c r="H416" s="2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>
      <c r="A417" s="1"/>
      <c r="B417" s="1"/>
      <c r="C417" s="1"/>
      <c r="D417" s="1"/>
      <c r="E417" s="1"/>
      <c r="F417" s="1"/>
      <c r="G417" s="1"/>
      <c r="H417" s="2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>
      <c r="A418" s="1"/>
      <c r="B418" s="1"/>
      <c r="C418" s="1"/>
      <c r="D418" s="1"/>
      <c r="E418" s="1"/>
      <c r="F418" s="1"/>
      <c r="G418" s="1"/>
      <c r="H418" s="2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>
      <c r="A419" s="1"/>
      <c r="B419" s="1"/>
      <c r="C419" s="1"/>
      <c r="D419" s="1"/>
      <c r="E419" s="1"/>
      <c r="F419" s="1"/>
      <c r="G419" s="1"/>
      <c r="H419" s="2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>
      <c r="A420" s="1"/>
      <c r="B420" s="1"/>
      <c r="C420" s="1"/>
      <c r="D420" s="1"/>
      <c r="E420" s="1"/>
      <c r="F420" s="1"/>
      <c r="G420" s="1"/>
      <c r="H420" s="2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>
      <c r="A421" s="1"/>
      <c r="B421" s="1"/>
      <c r="C421" s="1"/>
      <c r="D421" s="1"/>
      <c r="E421" s="1"/>
      <c r="F421" s="1"/>
      <c r="G421" s="1"/>
      <c r="H421" s="2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>
      <c r="A422" s="1"/>
      <c r="B422" s="1"/>
      <c r="C422" s="1"/>
      <c r="D422" s="1"/>
      <c r="E422" s="1"/>
      <c r="F422" s="1"/>
      <c r="G422" s="1"/>
      <c r="H422" s="2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>
      <c r="A423" s="1"/>
      <c r="B423" s="1"/>
      <c r="C423" s="1"/>
      <c r="D423" s="1"/>
      <c r="E423" s="1"/>
      <c r="F423" s="1"/>
      <c r="G423" s="1"/>
      <c r="H423" s="2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>
      <c r="A424" s="1"/>
      <c r="B424" s="1"/>
      <c r="C424" s="1"/>
      <c r="D424" s="1"/>
      <c r="E424" s="1"/>
      <c r="F424" s="1"/>
      <c r="G424" s="1"/>
      <c r="H424" s="2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>
      <c r="A425" s="1"/>
      <c r="B425" s="1"/>
      <c r="C425" s="1"/>
      <c r="D425" s="1"/>
      <c r="E425" s="1"/>
      <c r="F425" s="1"/>
      <c r="G425" s="1"/>
      <c r="H425" s="2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>
      <c r="A426" s="1"/>
      <c r="B426" s="1"/>
      <c r="C426" s="1"/>
      <c r="D426" s="1"/>
      <c r="E426" s="1"/>
      <c r="F426" s="1"/>
      <c r="G426" s="1"/>
      <c r="H426" s="2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>
      <c r="A427" s="1"/>
      <c r="B427" s="1"/>
      <c r="C427" s="1"/>
      <c r="D427" s="1"/>
      <c r="E427" s="1"/>
      <c r="F427" s="1"/>
      <c r="G427" s="1"/>
      <c r="H427" s="2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>
      <c r="A428" s="1"/>
      <c r="B428" s="1"/>
      <c r="C428" s="1"/>
      <c r="D428" s="1"/>
      <c r="E428" s="1"/>
      <c r="F428" s="1"/>
      <c r="G428" s="1"/>
      <c r="H428" s="2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>
      <c r="A429" s="1"/>
      <c r="B429" s="1"/>
      <c r="C429" s="1"/>
      <c r="D429" s="1"/>
      <c r="E429" s="1"/>
      <c r="F429" s="1"/>
      <c r="G429" s="1"/>
      <c r="H429" s="2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>
      <c r="A430" s="1"/>
      <c r="B430" s="1"/>
      <c r="C430" s="1"/>
      <c r="D430" s="1"/>
      <c r="E430" s="1"/>
      <c r="F430" s="1"/>
      <c r="G430" s="1"/>
      <c r="H430" s="2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>
      <c r="A431" s="1"/>
      <c r="B431" s="1"/>
      <c r="C431" s="1"/>
      <c r="D431" s="1"/>
      <c r="E431" s="1"/>
      <c r="F431" s="1"/>
      <c r="G431" s="1"/>
      <c r="H431" s="2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>
      <c r="A432" s="1"/>
      <c r="B432" s="1"/>
      <c r="C432" s="1"/>
      <c r="D432" s="1"/>
      <c r="E432" s="1"/>
      <c r="F432" s="1"/>
      <c r="G432" s="1"/>
      <c r="H432" s="2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>
      <c r="A433" s="1"/>
      <c r="B433" s="1"/>
      <c r="C433" s="1"/>
      <c r="D433" s="1"/>
      <c r="E433" s="1"/>
      <c r="F433" s="1"/>
      <c r="G433" s="1"/>
      <c r="H433" s="2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>
      <c r="A434" s="1"/>
      <c r="B434" s="1"/>
      <c r="C434" s="1"/>
      <c r="D434" s="1"/>
      <c r="E434" s="1"/>
      <c r="F434" s="1"/>
      <c r="G434" s="1"/>
      <c r="H434" s="2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>
      <c r="A435" s="1"/>
      <c r="B435" s="1"/>
      <c r="C435" s="1"/>
      <c r="D435" s="1"/>
      <c r="E435" s="1"/>
      <c r="F435" s="1"/>
      <c r="G435" s="1"/>
      <c r="H435" s="2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>
      <c r="A436" s="1"/>
      <c r="B436" s="1"/>
      <c r="C436" s="1"/>
      <c r="D436" s="1"/>
      <c r="E436" s="1"/>
      <c r="F436" s="1"/>
      <c r="G436" s="1"/>
      <c r="H436" s="2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>
      <c r="A437" s="1"/>
      <c r="B437" s="1"/>
      <c r="C437" s="1"/>
      <c r="D437" s="1"/>
      <c r="E437" s="1"/>
      <c r="F437" s="1"/>
      <c r="G437" s="1"/>
      <c r="H437" s="2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>
      <c r="A438" s="1"/>
      <c r="B438" s="1"/>
      <c r="C438" s="1"/>
      <c r="D438" s="1"/>
      <c r="E438" s="1"/>
      <c r="F438" s="1"/>
      <c r="G438" s="1"/>
      <c r="H438" s="2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>
      <c r="A439" s="1"/>
      <c r="B439" s="1"/>
      <c r="C439" s="1"/>
      <c r="D439" s="1"/>
      <c r="E439" s="1"/>
      <c r="F439" s="1"/>
      <c r="G439" s="1"/>
      <c r="H439" s="2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>
      <c r="A440" s="1"/>
      <c r="B440" s="1"/>
      <c r="C440" s="1"/>
      <c r="D440" s="1"/>
      <c r="E440" s="1"/>
      <c r="F440" s="1"/>
      <c r="G440" s="1"/>
      <c r="H440" s="2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>
      <c r="A441" s="1"/>
      <c r="B441" s="1"/>
      <c r="C441" s="1"/>
      <c r="D441" s="1"/>
      <c r="E441" s="1"/>
      <c r="F441" s="1"/>
      <c r="G441" s="1"/>
      <c r="H441" s="2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>
      <c r="A442" s="1"/>
      <c r="B442" s="1"/>
      <c r="C442" s="1"/>
      <c r="D442" s="1"/>
      <c r="E442" s="1"/>
      <c r="F442" s="1"/>
      <c r="G442" s="1"/>
      <c r="H442" s="2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>
      <c r="A443" s="1"/>
      <c r="B443" s="1"/>
      <c r="C443" s="1"/>
      <c r="D443" s="1"/>
      <c r="E443" s="1"/>
      <c r="F443" s="1"/>
      <c r="G443" s="1"/>
      <c r="H443" s="2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>
      <c r="A444" s="1"/>
      <c r="B444" s="1"/>
      <c r="C444" s="1"/>
      <c r="D444" s="1"/>
      <c r="E444" s="1"/>
      <c r="F444" s="1"/>
      <c r="G444" s="1"/>
      <c r="H444" s="2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>
      <c r="A445" s="1"/>
      <c r="B445" s="1"/>
      <c r="C445" s="1"/>
      <c r="D445" s="1"/>
      <c r="E445" s="1"/>
      <c r="F445" s="1"/>
      <c r="G445" s="1"/>
      <c r="H445" s="2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>
      <c r="A446" s="1"/>
      <c r="B446" s="1"/>
      <c r="C446" s="1"/>
      <c r="D446" s="1"/>
      <c r="E446" s="1"/>
      <c r="F446" s="1"/>
      <c r="G446" s="1"/>
      <c r="H446" s="2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>
      <c r="A447" s="1"/>
      <c r="B447" s="1"/>
      <c r="C447" s="1"/>
      <c r="D447" s="1"/>
      <c r="E447" s="1"/>
      <c r="F447" s="1"/>
      <c r="G447" s="1"/>
      <c r="H447" s="2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>
      <c r="A448" s="1"/>
      <c r="B448" s="1"/>
      <c r="C448" s="1"/>
      <c r="D448" s="1"/>
      <c r="E448" s="1"/>
      <c r="F448" s="1"/>
      <c r="G448" s="1"/>
      <c r="H448" s="2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>
      <c r="A449" s="1"/>
      <c r="B449" s="1"/>
      <c r="C449" s="1"/>
      <c r="D449" s="1"/>
      <c r="E449" s="1"/>
      <c r="F449" s="1"/>
      <c r="G449" s="1"/>
      <c r="H449" s="2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>
      <c r="A450" s="1"/>
      <c r="B450" s="1"/>
      <c r="C450" s="1"/>
      <c r="D450" s="1"/>
      <c r="E450" s="1"/>
      <c r="F450" s="1"/>
      <c r="G450" s="1"/>
      <c r="H450" s="2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>
      <c r="A451" s="1"/>
      <c r="B451" s="1"/>
      <c r="C451" s="1"/>
      <c r="D451" s="1"/>
      <c r="E451" s="1"/>
      <c r="F451" s="1"/>
      <c r="G451" s="1"/>
      <c r="H451" s="2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>
      <c r="A452" s="1"/>
      <c r="B452" s="1"/>
      <c r="C452" s="1"/>
      <c r="D452" s="1"/>
      <c r="E452" s="1"/>
      <c r="F452" s="1"/>
      <c r="G452" s="1"/>
      <c r="H452" s="2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>
      <c r="A453" s="1"/>
      <c r="B453" s="1"/>
      <c r="C453" s="1"/>
      <c r="D453" s="1"/>
      <c r="E453" s="1"/>
      <c r="F453" s="1"/>
      <c r="G453" s="1"/>
      <c r="H453" s="2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>
      <c r="A454" s="1"/>
      <c r="B454" s="1"/>
      <c r="C454" s="1"/>
      <c r="D454" s="1"/>
      <c r="E454" s="1"/>
      <c r="F454" s="1"/>
      <c r="G454" s="1"/>
      <c r="H454" s="2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>
      <c r="A455" s="1"/>
      <c r="B455" s="1"/>
      <c r="C455" s="1"/>
      <c r="D455" s="1"/>
      <c r="E455" s="1"/>
      <c r="F455" s="1"/>
      <c r="G455" s="1"/>
      <c r="H455" s="2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>
      <c r="A456" s="1"/>
      <c r="B456" s="1"/>
      <c r="C456" s="1"/>
      <c r="D456" s="1"/>
      <c r="E456" s="1"/>
      <c r="F456" s="1"/>
      <c r="G456" s="1"/>
      <c r="H456" s="2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>
      <c r="A457" s="1"/>
      <c r="B457" s="1"/>
      <c r="C457" s="1"/>
      <c r="D457" s="1"/>
      <c r="E457" s="1"/>
      <c r="F457" s="1"/>
      <c r="G457" s="1"/>
      <c r="H457" s="2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>
      <c r="A458" s="1"/>
      <c r="B458" s="1"/>
      <c r="C458" s="1"/>
      <c r="D458" s="1"/>
      <c r="E458" s="1"/>
      <c r="F458" s="1"/>
      <c r="G458" s="1"/>
      <c r="H458" s="2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>
      <c r="A459" s="1"/>
      <c r="B459" s="1"/>
      <c r="C459" s="1"/>
      <c r="D459" s="1"/>
      <c r="E459" s="1"/>
      <c r="F459" s="1"/>
      <c r="G459" s="1"/>
      <c r="H459" s="2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>
      <c r="A460" s="1"/>
      <c r="B460" s="1"/>
      <c r="C460" s="1"/>
      <c r="D460" s="1"/>
      <c r="E460" s="1"/>
      <c r="F460" s="1"/>
      <c r="G460" s="1"/>
      <c r="H460" s="2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>
      <c r="A461" s="1"/>
      <c r="B461" s="1"/>
      <c r="C461" s="1"/>
      <c r="D461" s="1"/>
      <c r="E461" s="1"/>
      <c r="F461" s="1"/>
      <c r="G461" s="1"/>
      <c r="H461" s="2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>
      <c r="A462" s="1"/>
      <c r="B462" s="1"/>
      <c r="C462" s="1"/>
      <c r="D462" s="1"/>
      <c r="E462" s="1"/>
      <c r="F462" s="1"/>
      <c r="G462" s="1"/>
      <c r="H462" s="2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>
      <c r="A463" s="1"/>
      <c r="B463" s="1"/>
      <c r="C463" s="1"/>
      <c r="D463" s="1"/>
      <c r="E463" s="1"/>
      <c r="F463" s="1"/>
      <c r="G463" s="1"/>
      <c r="H463" s="2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>
      <c r="A464" s="1"/>
      <c r="B464" s="1"/>
      <c r="C464" s="1"/>
      <c r="D464" s="1"/>
      <c r="E464" s="1"/>
      <c r="F464" s="1"/>
      <c r="G464" s="1"/>
      <c r="H464" s="2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>
      <c r="A465" s="1"/>
      <c r="B465" s="1"/>
      <c r="C465" s="1"/>
      <c r="D465" s="1"/>
      <c r="E465" s="1"/>
      <c r="F465" s="1"/>
      <c r="G465" s="1"/>
      <c r="H465" s="2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>
      <c r="A466" s="1"/>
      <c r="B466" s="1"/>
      <c r="C466" s="1"/>
      <c r="D466" s="1"/>
      <c r="E466" s="1"/>
      <c r="F466" s="1"/>
      <c r="G466" s="1"/>
      <c r="H466" s="2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>
      <c r="A467" s="1"/>
      <c r="B467" s="1"/>
      <c r="C467" s="1"/>
      <c r="D467" s="1"/>
      <c r="E467" s="1"/>
      <c r="F467" s="1"/>
      <c r="G467" s="1"/>
      <c r="H467" s="2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>
      <c r="A468" s="1"/>
      <c r="B468" s="1"/>
      <c r="C468" s="1"/>
      <c r="D468" s="1"/>
      <c r="E468" s="1"/>
      <c r="F468" s="1"/>
      <c r="G468" s="1"/>
      <c r="H468" s="2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>
      <c r="A469" s="1"/>
      <c r="B469" s="1"/>
      <c r="C469" s="1"/>
      <c r="D469" s="1"/>
      <c r="E469" s="1"/>
      <c r="F469" s="1"/>
      <c r="G469" s="1"/>
      <c r="H469" s="2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>
      <c r="A470" s="1"/>
      <c r="B470" s="1"/>
      <c r="C470" s="1"/>
      <c r="D470" s="1"/>
      <c r="E470" s="1"/>
      <c r="F470" s="1"/>
      <c r="G470" s="1"/>
      <c r="H470" s="2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>
      <c r="A471" s="1"/>
      <c r="B471" s="1"/>
      <c r="C471" s="1"/>
      <c r="D471" s="1"/>
      <c r="E471" s="1"/>
      <c r="F471" s="1"/>
      <c r="G471" s="1"/>
      <c r="H471" s="2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>
      <c r="A472" s="1"/>
      <c r="B472" s="1"/>
      <c r="C472" s="1"/>
      <c r="D472" s="1"/>
      <c r="E472" s="1"/>
      <c r="F472" s="1"/>
      <c r="G472" s="1"/>
      <c r="H472" s="2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>
      <c r="A473" s="1"/>
      <c r="B473" s="1"/>
      <c r="C473" s="1"/>
      <c r="D473" s="1"/>
      <c r="E473" s="1"/>
      <c r="F473" s="1"/>
      <c r="G473" s="1"/>
      <c r="H473" s="2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>
      <c r="A474" s="1"/>
      <c r="B474" s="1"/>
      <c r="C474" s="1"/>
      <c r="D474" s="1"/>
      <c r="E474" s="1"/>
      <c r="F474" s="1"/>
      <c r="G474" s="1"/>
      <c r="H474" s="2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>
      <c r="A475" s="1"/>
      <c r="B475" s="1"/>
      <c r="C475" s="1"/>
      <c r="D475" s="1"/>
      <c r="E475" s="1"/>
      <c r="F475" s="1"/>
      <c r="G475" s="1"/>
      <c r="H475" s="2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>
      <c r="A476" s="1"/>
      <c r="B476" s="1"/>
      <c r="C476" s="1"/>
      <c r="D476" s="1"/>
      <c r="E476" s="1"/>
      <c r="F476" s="1"/>
      <c r="G476" s="1"/>
      <c r="H476" s="2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>
      <c r="A477" s="1"/>
      <c r="B477" s="1"/>
      <c r="C477" s="1"/>
      <c r="D477" s="1"/>
      <c r="E477" s="1"/>
      <c r="F477" s="1"/>
      <c r="G477" s="1"/>
      <c r="H477" s="2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>
      <c r="A478" s="1"/>
      <c r="B478" s="1"/>
      <c r="C478" s="1"/>
      <c r="D478" s="1"/>
      <c r="E478" s="1"/>
      <c r="F478" s="1"/>
      <c r="G478" s="1"/>
      <c r="H478" s="2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>
      <c r="A479" s="1"/>
      <c r="B479" s="1"/>
      <c r="C479" s="1"/>
      <c r="D479" s="1"/>
      <c r="E479" s="1"/>
      <c r="F479" s="1"/>
      <c r="G479" s="1"/>
      <c r="H479" s="2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>
      <c r="A480" s="1"/>
      <c r="B480" s="1"/>
      <c r="C480" s="1"/>
      <c r="D480" s="1"/>
      <c r="E480" s="1"/>
      <c r="F480" s="1"/>
      <c r="G480" s="1"/>
      <c r="H480" s="2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>
      <c r="A481" s="1"/>
      <c r="B481" s="1"/>
      <c r="C481" s="1"/>
      <c r="D481" s="1"/>
      <c r="E481" s="1"/>
      <c r="F481" s="1"/>
      <c r="G481" s="1"/>
      <c r="H481" s="2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>
      <c r="A482" s="1"/>
      <c r="B482" s="1"/>
      <c r="C482" s="1"/>
      <c r="D482" s="1"/>
      <c r="E482" s="1"/>
      <c r="F482" s="1"/>
      <c r="G482" s="1"/>
      <c r="H482" s="2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>
      <c r="A483" s="1"/>
      <c r="B483" s="1"/>
      <c r="C483" s="1"/>
      <c r="D483" s="1"/>
      <c r="E483" s="1"/>
      <c r="F483" s="1"/>
      <c r="G483" s="1"/>
      <c r="H483" s="2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>
      <c r="A484" s="1"/>
      <c r="B484" s="1"/>
      <c r="C484" s="1"/>
      <c r="D484" s="1"/>
      <c r="E484" s="1"/>
      <c r="F484" s="1"/>
      <c r="G484" s="1"/>
      <c r="H484" s="2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>
      <c r="A485" s="1"/>
      <c r="B485" s="1"/>
      <c r="C485" s="1"/>
      <c r="D485" s="1"/>
      <c r="E485" s="1"/>
      <c r="F485" s="1"/>
      <c r="G485" s="1"/>
      <c r="H485" s="2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>
      <c r="A486" s="1"/>
      <c r="B486" s="1"/>
      <c r="C486" s="1"/>
      <c r="D486" s="1"/>
      <c r="E486" s="1"/>
      <c r="F486" s="1"/>
      <c r="G486" s="1"/>
      <c r="H486" s="2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>
      <c r="A487" s="1"/>
      <c r="B487" s="1"/>
      <c r="C487" s="1"/>
      <c r="D487" s="1"/>
      <c r="E487" s="1"/>
      <c r="F487" s="1"/>
      <c r="G487" s="1"/>
      <c r="H487" s="2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>
      <c r="A488" s="1"/>
      <c r="B488" s="1"/>
      <c r="C488" s="1"/>
      <c r="D488" s="1"/>
      <c r="E488" s="1"/>
      <c r="F488" s="1"/>
      <c r="G488" s="1"/>
      <c r="H488" s="2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>
      <c r="A489" s="1"/>
      <c r="B489" s="1"/>
      <c r="C489" s="1"/>
      <c r="D489" s="1"/>
      <c r="E489" s="1"/>
      <c r="F489" s="1"/>
      <c r="G489" s="1"/>
      <c r="H489" s="2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>
      <c r="A490" s="1"/>
      <c r="B490" s="1"/>
      <c r="C490" s="1"/>
      <c r="D490" s="1"/>
      <c r="E490" s="1"/>
      <c r="F490" s="1"/>
      <c r="G490" s="1"/>
      <c r="H490" s="2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>
      <c r="A491" s="1"/>
      <c r="B491" s="1"/>
      <c r="C491" s="1"/>
      <c r="D491" s="1"/>
      <c r="E491" s="1"/>
      <c r="F491" s="1"/>
      <c r="G491" s="1"/>
      <c r="H491" s="2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>
      <c r="A492" s="1"/>
      <c r="B492" s="1"/>
      <c r="C492" s="1"/>
      <c r="D492" s="1"/>
      <c r="E492" s="1"/>
      <c r="F492" s="1"/>
      <c r="G492" s="1"/>
      <c r="H492" s="2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>
      <c r="A493" s="1"/>
      <c r="B493" s="1"/>
      <c r="C493" s="1"/>
      <c r="D493" s="1"/>
      <c r="E493" s="1"/>
      <c r="F493" s="1"/>
      <c r="G493" s="1"/>
      <c r="H493" s="2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>
      <c r="A494" s="1"/>
      <c r="B494" s="1"/>
      <c r="C494" s="1"/>
      <c r="D494" s="1"/>
      <c r="E494" s="1"/>
      <c r="F494" s="1"/>
      <c r="G494" s="1"/>
      <c r="H494" s="2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>
      <c r="A495" s="1"/>
      <c r="B495" s="1"/>
      <c r="C495" s="1"/>
      <c r="D495" s="1"/>
      <c r="E495" s="1"/>
      <c r="F495" s="1"/>
      <c r="G495" s="1"/>
      <c r="H495" s="2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>
      <c r="A496" s="1"/>
      <c r="B496" s="1"/>
      <c r="C496" s="1"/>
      <c r="D496" s="1"/>
      <c r="E496" s="1"/>
      <c r="F496" s="1"/>
      <c r="G496" s="1"/>
      <c r="H496" s="2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>
      <c r="A497" s="1"/>
      <c r="B497" s="1"/>
      <c r="C497" s="1"/>
      <c r="D497" s="1"/>
      <c r="E497" s="1"/>
      <c r="F497" s="1"/>
      <c r="G497" s="1"/>
      <c r="H497" s="2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>
      <c r="A498" s="1"/>
      <c r="B498" s="1"/>
      <c r="C498" s="1"/>
      <c r="D498" s="1"/>
      <c r="E498" s="1"/>
      <c r="F498" s="1"/>
      <c r="G498" s="1"/>
      <c r="H498" s="2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>
      <c r="A499" s="1"/>
      <c r="B499" s="1"/>
      <c r="C499" s="1"/>
      <c r="D499" s="1"/>
      <c r="E499" s="1"/>
      <c r="F499" s="1"/>
      <c r="G499" s="1"/>
      <c r="H499" s="2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>
      <c r="A500" s="1"/>
      <c r="B500" s="1"/>
      <c r="C500" s="1"/>
      <c r="D500" s="1"/>
      <c r="E500" s="1"/>
      <c r="F500" s="1"/>
      <c r="G500" s="1"/>
      <c r="H500" s="2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>
      <c r="A501" s="1"/>
      <c r="B501" s="1"/>
      <c r="C501" s="1"/>
      <c r="D501" s="1"/>
      <c r="E501" s="1"/>
      <c r="F501" s="1"/>
      <c r="G501" s="1"/>
      <c r="H501" s="2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>
      <c r="A502" s="1"/>
      <c r="B502" s="1"/>
      <c r="C502" s="1"/>
      <c r="D502" s="1"/>
      <c r="E502" s="1"/>
      <c r="F502" s="1"/>
      <c r="G502" s="1"/>
      <c r="H502" s="2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>
      <c r="A503" s="1"/>
      <c r="B503" s="1"/>
      <c r="C503" s="1"/>
      <c r="D503" s="1"/>
      <c r="E503" s="1"/>
      <c r="F503" s="1"/>
      <c r="G503" s="1"/>
      <c r="H503" s="2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>
      <c r="A504" s="1"/>
      <c r="B504" s="1"/>
      <c r="C504" s="1"/>
      <c r="D504" s="1"/>
      <c r="E504" s="1"/>
      <c r="F504" s="1"/>
      <c r="G504" s="1"/>
      <c r="H504" s="2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>
      <c r="A505" s="1"/>
      <c r="B505" s="1"/>
      <c r="C505" s="1"/>
      <c r="D505" s="1"/>
      <c r="E505" s="1"/>
      <c r="F505" s="1"/>
      <c r="G505" s="1"/>
      <c r="H505" s="2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>
      <c r="A506" s="1"/>
      <c r="B506" s="1"/>
      <c r="C506" s="1"/>
      <c r="D506" s="1"/>
      <c r="E506" s="1"/>
      <c r="F506" s="1"/>
      <c r="G506" s="1"/>
      <c r="H506" s="2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>
      <c r="A507" s="1"/>
      <c r="B507" s="1"/>
      <c r="C507" s="1"/>
      <c r="D507" s="1"/>
      <c r="E507" s="1"/>
      <c r="F507" s="1"/>
      <c r="G507" s="1"/>
      <c r="H507" s="2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>
      <c r="A508" s="1"/>
      <c r="B508" s="1"/>
      <c r="C508" s="1"/>
      <c r="D508" s="1"/>
      <c r="E508" s="1"/>
      <c r="F508" s="1"/>
      <c r="G508" s="1"/>
      <c r="H508" s="2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>
      <c r="A509" s="1"/>
      <c r="B509" s="1"/>
      <c r="C509" s="1"/>
      <c r="D509" s="1"/>
      <c r="E509" s="1"/>
      <c r="F509" s="1"/>
      <c r="G509" s="1"/>
      <c r="H509" s="2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>
      <c r="A510" s="1"/>
      <c r="B510" s="1"/>
      <c r="C510" s="1"/>
      <c r="D510" s="1"/>
      <c r="E510" s="1"/>
      <c r="F510" s="1"/>
      <c r="G510" s="1"/>
      <c r="H510" s="2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>
      <c r="A511" s="1"/>
      <c r="B511" s="1"/>
      <c r="C511" s="1"/>
      <c r="D511" s="1"/>
      <c r="E511" s="1"/>
      <c r="F511" s="1"/>
      <c r="G511" s="1"/>
      <c r="H511" s="2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>
      <c r="A512" s="1"/>
      <c r="B512" s="1"/>
      <c r="C512" s="1"/>
      <c r="D512" s="1"/>
      <c r="E512" s="1"/>
      <c r="F512" s="1"/>
      <c r="G512" s="1"/>
      <c r="H512" s="2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>
      <c r="A513" s="1"/>
      <c r="B513" s="1"/>
      <c r="C513" s="1"/>
      <c r="D513" s="1"/>
      <c r="E513" s="1"/>
      <c r="F513" s="1"/>
      <c r="G513" s="1"/>
      <c r="H513" s="2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>
      <c r="A514" s="1"/>
      <c r="B514" s="1"/>
      <c r="C514" s="1"/>
      <c r="D514" s="1"/>
      <c r="E514" s="1"/>
      <c r="F514" s="1"/>
      <c r="G514" s="1"/>
      <c r="H514" s="2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>
      <c r="A515" s="1"/>
      <c r="B515" s="1"/>
      <c r="C515" s="1"/>
      <c r="D515" s="1"/>
      <c r="E515" s="1"/>
      <c r="F515" s="1"/>
      <c r="G515" s="1"/>
      <c r="H515" s="2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>
      <c r="A516" s="1"/>
      <c r="B516" s="1"/>
      <c r="C516" s="1"/>
      <c r="D516" s="1"/>
      <c r="E516" s="1"/>
      <c r="F516" s="1"/>
      <c r="G516" s="1"/>
      <c r="H516" s="2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>
      <c r="A517" s="1"/>
      <c r="B517" s="1"/>
      <c r="C517" s="1"/>
      <c r="D517" s="1"/>
      <c r="E517" s="1"/>
      <c r="F517" s="1"/>
      <c r="G517" s="1"/>
      <c r="H517" s="2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>
      <c r="A518" s="1"/>
      <c r="B518" s="1"/>
      <c r="C518" s="1"/>
      <c r="D518" s="1"/>
      <c r="E518" s="1"/>
      <c r="F518" s="1"/>
      <c r="G518" s="1"/>
      <c r="H518" s="2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>
      <c r="A519" s="1"/>
      <c r="B519" s="1"/>
      <c r="C519" s="1"/>
      <c r="D519" s="1"/>
      <c r="E519" s="1"/>
      <c r="F519" s="1"/>
      <c r="G519" s="1"/>
      <c r="H519" s="2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>
      <c r="A520" s="1"/>
      <c r="B520" s="1"/>
      <c r="C520" s="1"/>
      <c r="D520" s="1"/>
      <c r="E520" s="1"/>
      <c r="F520" s="1"/>
      <c r="G520" s="1"/>
      <c r="H520" s="2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>
      <c r="A521" s="1"/>
      <c r="B521" s="1"/>
      <c r="C521" s="1"/>
      <c r="D521" s="1"/>
      <c r="E521" s="1"/>
      <c r="F521" s="1"/>
      <c r="G521" s="1"/>
      <c r="H521" s="2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>
      <c r="A522" s="1"/>
      <c r="B522" s="1"/>
      <c r="C522" s="1"/>
      <c r="D522" s="1"/>
      <c r="E522" s="1"/>
      <c r="F522" s="1"/>
      <c r="G522" s="1"/>
      <c r="H522" s="2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>
      <c r="A523" s="1"/>
      <c r="B523" s="1"/>
      <c r="C523" s="1"/>
      <c r="D523" s="1"/>
      <c r="E523" s="1"/>
      <c r="F523" s="1"/>
      <c r="G523" s="1"/>
      <c r="H523" s="2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>
      <c r="A524" s="1"/>
      <c r="B524" s="1"/>
      <c r="C524" s="1"/>
      <c r="D524" s="1"/>
      <c r="E524" s="1"/>
      <c r="F524" s="1"/>
      <c r="G524" s="1"/>
      <c r="H524" s="2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>
      <c r="A525" s="1"/>
      <c r="B525" s="1"/>
      <c r="C525" s="1"/>
      <c r="D525" s="1"/>
      <c r="E525" s="1"/>
      <c r="F525" s="1"/>
      <c r="G525" s="1"/>
      <c r="H525" s="2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>
      <c r="A526" s="1"/>
      <c r="B526" s="1"/>
      <c r="C526" s="1"/>
      <c r="D526" s="1"/>
      <c r="E526" s="1"/>
      <c r="F526" s="1"/>
      <c r="G526" s="1"/>
      <c r="H526" s="2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>
      <c r="A527" s="1"/>
      <c r="B527" s="1"/>
      <c r="C527" s="1"/>
      <c r="D527" s="1"/>
      <c r="E527" s="1"/>
      <c r="F527" s="1"/>
      <c r="G527" s="1"/>
      <c r="H527" s="2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>
      <c r="A528" s="1"/>
      <c r="B528" s="1"/>
      <c r="C528" s="1"/>
      <c r="D528" s="1"/>
      <c r="E528" s="1"/>
      <c r="F528" s="1"/>
      <c r="G528" s="1"/>
      <c r="H528" s="2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>
      <c r="A529" s="1"/>
      <c r="B529" s="1"/>
      <c r="C529" s="1"/>
      <c r="D529" s="1"/>
      <c r="E529" s="1"/>
      <c r="F529" s="1"/>
      <c r="G529" s="1"/>
      <c r="H529" s="2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>
      <c r="A530" s="1"/>
      <c r="B530" s="1"/>
      <c r="C530" s="1"/>
      <c r="D530" s="1"/>
      <c r="E530" s="1"/>
      <c r="F530" s="1"/>
      <c r="G530" s="1"/>
      <c r="H530" s="2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>
      <c r="A531" s="1"/>
      <c r="B531" s="1"/>
      <c r="C531" s="1"/>
      <c r="D531" s="1"/>
      <c r="E531" s="1"/>
      <c r="F531" s="1"/>
      <c r="G531" s="1"/>
      <c r="H531" s="2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>
      <c r="A532" s="1"/>
      <c r="B532" s="1"/>
      <c r="C532" s="1"/>
      <c r="D532" s="1"/>
      <c r="E532" s="1"/>
      <c r="F532" s="1"/>
      <c r="G532" s="1"/>
      <c r="H532" s="2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>
      <c r="A533" s="1"/>
      <c r="B533" s="1"/>
      <c r="C533" s="1"/>
      <c r="D533" s="1"/>
      <c r="E533" s="1"/>
      <c r="F533" s="1"/>
      <c r="G533" s="1"/>
      <c r="H533" s="2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>
      <c r="A534" s="1"/>
      <c r="B534" s="1"/>
      <c r="C534" s="1"/>
      <c r="D534" s="1"/>
      <c r="E534" s="1"/>
      <c r="F534" s="1"/>
      <c r="G534" s="1"/>
      <c r="H534" s="2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>
      <c r="A535" s="1"/>
      <c r="B535" s="1"/>
      <c r="C535" s="1"/>
      <c r="D535" s="1"/>
      <c r="E535" s="1"/>
      <c r="F535" s="1"/>
      <c r="G535" s="1"/>
      <c r="H535" s="2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>
      <c r="A536" s="1"/>
      <c r="B536" s="1"/>
      <c r="C536" s="1"/>
      <c r="D536" s="1"/>
      <c r="E536" s="1"/>
      <c r="F536" s="1"/>
      <c r="G536" s="1"/>
      <c r="H536" s="2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>
      <c r="A537" s="1"/>
      <c r="B537" s="1"/>
      <c r="C537" s="1"/>
      <c r="D537" s="1"/>
      <c r="E537" s="1"/>
      <c r="F537" s="1"/>
      <c r="G537" s="1"/>
      <c r="H537" s="2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>
      <c r="A538" s="1"/>
      <c r="B538" s="1"/>
      <c r="C538" s="1"/>
      <c r="D538" s="1"/>
      <c r="E538" s="1"/>
      <c r="F538" s="1"/>
      <c r="G538" s="1"/>
      <c r="H538" s="2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>
      <c r="A539" s="1"/>
      <c r="B539" s="1"/>
      <c r="C539" s="1"/>
      <c r="D539" s="1"/>
      <c r="E539" s="1"/>
      <c r="F539" s="1"/>
      <c r="G539" s="1"/>
      <c r="H539" s="2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>
      <c r="A540" s="1"/>
      <c r="B540" s="1"/>
      <c r="C540" s="1"/>
      <c r="D540" s="1"/>
      <c r="E540" s="1"/>
      <c r="F540" s="1"/>
      <c r="G540" s="1"/>
      <c r="H540" s="2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>
      <c r="A541" s="1"/>
      <c r="B541" s="1"/>
      <c r="C541" s="1"/>
      <c r="D541" s="1"/>
      <c r="E541" s="1"/>
      <c r="F541" s="1"/>
      <c r="G541" s="1"/>
      <c r="H541" s="2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>
      <c r="A542" s="1"/>
      <c r="B542" s="1"/>
      <c r="C542" s="1"/>
      <c r="D542" s="1"/>
      <c r="E542" s="1"/>
      <c r="F542" s="1"/>
      <c r="G542" s="1"/>
      <c r="H542" s="2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>
      <c r="A543" s="1"/>
      <c r="B543" s="1"/>
      <c r="C543" s="1"/>
      <c r="D543" s="1"/>
      <c r="E543" s="1"/>
      <c r="F543" s="1"/>
      <c r="G543" s="1"/>
      <c r="H543" s="2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>
      <c r="A544" s="1"/>
      <c r="B544" s="1"/>
      <c r="C544" s="1"/>
      <c r="D544" s="1"/>
      <c r="E544" s="1"/>
      <c r="F544" s="1"/>
      <c r="G544" s="1"/>
      <c r="H544" s="2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>
      <c r="A545" s="1"/>
      <c r="B545" s="1"/>
      <c r="C545" s="1"/>
      <c r="D545" s="1"/>
      <c r="E545" s="1"/>
      <c r="F545" s="1"/>
      <c r="G545" s="1"/>
      <c r="H545" s="2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>
      <c r="A546" s="1"/>
      <c r="B546" s="1"/>
      <c r="C546" s="1"/>
      <c r="D546" s="1"/>
      <c r="E546" s="1"/>
      <c r="F546" s="1"/>
      <c r="G546" s="1"/>
      <c r="H546" s="2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>
      <c r="A547" s="1"/>
      <c r="B547" s="1"/>
      <c r="C547" s="1"/>
      <c r="D547" s="1"/>
      <c r="E547" s="1"/>
      <c r="F547" s="1"/>
      <c r="G547" s="1"/>
      <c r="H547" s="2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>
      <c r="A548" s="1"/>
      <c r="B548" s="1"/>
      <c r="C548" s="1"/>
      <c r="D548" s="1"/>
      <c r="E548" s="1"/>
      <c r="F548" s="1"/>
      <c r="G548" s="1"/>
      <c r="H548" s="2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>
      <c r="A549" s="1"/>
      <c r="B549" s="1"/>
      <c r="C549" s="1"/>
      <c r="D549" s="1"/>
      <c r="E549" s="1"/>
      <c r="F549" s="1"/>
      <c r="G549" s="1"/>
      <c r="H549" s="2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>
      <c r="A550" s="1"/>
      <c r="B550" s="1"/>
      <c r="C550" s="1"/>
      <c r="D550" s="1"/>
      <c r="E550" s="1"/>
      <c r="F550" s="1"/>
      <c r="G550" s="1"/>
      <c r="H550" s="2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>
      <c r="A551" s="1"/>
      <c r="B551" s="1"/>
      <c r="C551" s="1"/>
      <c r="D551" s="1"/>
      <c r="E551" s="1"/>
      <c r="F551" s="1"/>
      <c r="G551" s="1"/>
      <c r="H551" s="2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>
      <c r="A552" s="1"/>
      <c r="B552" s="1"/>
      <c r="C552" s="1"/>
      <c r="D552" s="1"/>
      <c r="E552" s="1"/>
      <c r="F552" s="1"/>
      <c r="G552" s="1"/>
      <c r="H552" s="2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>
      <c r="A553" s="1"/>
      <c r="B553" s="1"/>
      <c r="C553" s="1"/>
      <c r="D553" s="1"/>
      <c r="E553" s="1"/>
      <c r="F553" s="1"/>
      <c r="G553" s="1"/>
      <c r="H553" s="2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>
      <c r="A554" s="1"/>
      <c r="B554" s="1"/>
      <c r="C554" s="1"/>
      <c r="D554" s="1"/>
      <c r="E554" s="1"/>
      <c r="F554" s="1"/>
      <c r="G554" s="1"/>
      <c r="H554" s="2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>
      <c r="A555" s="1"/>
      <c r="B555" s="1"/>
      <c r="C555" s="1"/>
      <c r="D555" s="1"/>
      <c r="E555" s="1"/>
      <c r="F555" s="1"/>
      <c r="G555" s="1"/>
      <c r="H555" s="2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>
      <c r="A556" s="1"/>
      <c r="B556" s="1"/>
      <c r="C556" s="1"/>
      <c r="D556" s="1"/>
      <c r="E556" s="1"/>
      <c r="F556" s="1"/>
      <c r="G556" s="1"/>
      <c r="H556" s="2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>
      <c r="A557" s="1"/>
      <c r="B557" s="1"/>
      <c r="C557" s="1"/>
      <c r="D557" s="1"/>
      <c r="E557" s="1"/>
      <c r="F557" s="1"/>
      <c r="G557" s="1"/>
      <c r="H557" s="2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>
      <c r="A558" s="1"/>
      <c r="B558" s="1"/>
      <c r="C558" s="1"/>
      <c r="D558" s="1"/>
      <c r="E558" s="1"/>
      <c r="F558" s="1"/>
      <c r="G558" s="1"/>
      <c r="H558" s="2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>
      <c r="A559" s="1"/>
      <c r="B559" s="1"/>
      <c r="C559" s="1"/>
      <c r="D559" s="1"/>
      <c r="E559" s="1"/>
      <c r="F559" s="1"/>
      <c r="G559" s="1"/>
      <c r="H559" s="2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>
      <c r="A560" s="1"/>
      <c r="B560" s="1"/>
      <c r="C560" s="1"/>
      <c r="D560" s="1"/>
      <c r="E560" s="1"/>
      <c r="F560" s="1"/>
      <c r="G560" s="1"/>
      <c r="H560" s="2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>
      <c r="A561" s="1"/>
      <c r="B561" s="1"/>
      <c r="C561" s="1"/>
      <c r="D561" s="1"/>
      <c r="E561" s="1"/>
      <c r="F561" s="1"/>
      <c r="G561" s="1"/>
      <c r="H561" s="2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>
      <c r="A562" s="1"/>
      <c r="B562" s="1"/>
      <c r="C562" s="1"/>
      <c r="D562" s="1"/>
      <c r="E562" s="1"/>
      <c r="F562" s="1"/>
      <c r="G562" s="1"/>
      <c r="H562" s="2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>
      <c r="A563" s="1"/>
      <c r="B563" s="1"/>
      <c r="C563" s="1"/>
      <c r="D563" s="1"/>
      <c r="E563" s="1"/>
      <c r="F563" s="1"/>
      <c r="G563" s="1"/>
      <c r="H563" s="2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>
      <c r="A564" s="1"/>
      <c r="B564" s="1"/>
      <c r="C564" s="1"/>
      <c r="D564" s="1"/>
      <c r="E564" s="1"/>
      <c r="F564" s="1"/>
      <c r="G564" s="1"/>
      <c r="H564" s="2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>
      <c r="A565" s="1"/>
      <c r="B565" s="1"/>
      <c r="C565" s="1"/>
      <c r="D565" s="1"/>
      <c r="E565" s="1"/>
      <c r="F565" s="1"/>
      <c r="G565" s="1"/>
      <c r="H565" s="2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>
      <c r="A566" s="1"/>
      <c r="B566" s="1"/>
      <c r="C566" s="1"/>
      <c r="D566" s="1"/>
      <c r="E566" s="1"/>
      <c r="F566" s="1"/>
      <c r="G566" s="1"/>
      <c r="H566" s="2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>
      <c r="A567" s="1"/>
      <c r="B567" s="1"/>
      <c r="C567" s="1"/>
      <c r="D567" s="1"/>
      <c r="E567" s="1"/>
      <c r="F567" s="1"/>
      <c r="G567" s="1"/>
      <c r="H567" s="2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>
      <c r="A568" s="1"/>
      <c r="B568" s="1"/>
      <c r="C568" s="1"/>
      <c r="D568" s="1"/>
      <c r="E568" s="1"/>
      <c r="F568" s="1"/>
      <c r="G568" s="1"/>
      <c r="H568" s="2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>
      <c r="A569" s="1"/>
      <c r="B569" s="1"/>
      <c r="C569" s="1"/>
      <c r="D569" s="1"/>
      <c r="E569" s="1"/>
      <c r="F569" s="1"/>
      <c r="G569" s="1"/>
      <c r="H569" s="2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>
      <c r="A570" s="1"/>
      <c r="B570" s="1"/>
      <c r="C570" s="1"/>
      <c r="D570" s="1"/>
      <c r="E570" s="1"/>
      <c r="F570" s="1"/>
      <c r="G570" s="1"/>
      <c r="H570" s="2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>
      <c r="A571" s="1"/>
      <c r="B571" s="1"/>
      <c r="C571" s="1"/>
      <c r="D571" s="1"/>
      <c r="E571" s="1"/>
      <c r="F571" s="1"/>
      <c r="G571" s="1"/>
      <c r="H571" s="2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>
      <c r="A572" s="1"/>
      <c r="B572" s="1"/>
      <c r="C572" s="1"/>
      <c r="D572" s="1"/>
      <c r="E572" s="1"/>
      <c r="F572" s="1"/>
      <c r="G572" s="1"/>
      <c r="H572" s="2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>
      <c r="A573" s="1"/>
      <c r="B573" s="1"/>
      <c r="C573" s="1"/>
      <c r="D573" s="1"/>
      <c r="E573" s="1"/>
      <c r="F573" s="1"/>
      <c r="G573" s="1"/>
      <c r="H573" s="2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>
      <c r="A574" s="1"/>
      <c r="B574" s="1"/>
      <c r="C574" s="1"/>
      <c r="D574" s="1"/>
      <c r="E574" s="1"/>
      <c r="F574" s="1"/>
      <c r="G574" s="1"/>
      <c r="H574" s="2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>
      <c r="A575" s="1"/>
      <c r="B575" s="1"/>
      <c r="C575" s="1"/>
      <c r="D575" s="1"/>
      <c r="E575" s="1"/>
      <c r="F575" s="1"/>
      <c r="G575" s="1"/>
      <c r="H575" s="2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>
      <c r="A576" s="1"/>
      <c r="B576" s="1"/>
      <c r="C576" s="1"/>
      <c r="D576" s="1"/>
      <c r="E576" s="1"/>
      <c r="F576" s="1"/>
      <c r="G576" s="1"/>
      <c r="H576" s="2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>
      <c r="A577" s="1"/>
      <c r="B577" s="1"/>
      <c r="C577" s="1"/>
      <c r="D577" s="1"/>
      <c r="E577" s="1"/>
      <c r="F577" s="1"/>
      <c r="G577" s="1"/>
      <c r="H577" s="2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>
      <c r="A578" s="1"/>
      <c r="B578" s="1"/>
      <c r="C578" s="1"/>
      <c r="D578" s="1"/>
      <c r="E578" s="1"/>
      <c r="F578" s="1"/>
      <c r="G578" s="1"/>
      <c r="H578" s="2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>
      <c r="A579" s="1"/>
      <c r="B579" s="1"/>
      <c r="C579" s="1"/>
      <c r="D579" s="1"/>
      <c r="E579" s="1"/>
      <c r="F579" s="1"/>
      <c r="G579" s="1"/>
      <c r="H579" s="2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>
      <c r="A580" s="1"/>
      <c r="B580" s="1"/>
      <c r="C580" s="1"/>
      <c r="D580" s="1"/>
      <c r="E580" s="1"/>
      <c r="F580" s="1"/>
      <c r="G580" s="1"/>
      <c r="H580" s="2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>
      <c r="A581" s="1"/>
      <c r="B581" s="1"/>
      <c r="C581" s="1"/>
      <c r="D581" s="1"/>
      <c r="E581" s="1"/>
      <c r="F581" s="1"/>
      <c r="G581" s="1"/>
      <c r="H581" s="2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>
      <c r="A582" s="1"/>
      <c r="B582" s="1"/>
      <c r="C582" s="1"/>
      <c r="D582" s="1"/>
      <c r="E582" s="1"/>
      <c r="F582" s="1"/>
      <c r="G582" s="1"/>
      <c r="H582" s="2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>
      <c r="A583" s="1"/>
      <c r="B583" s="1"/>
      <c r="C583" s="1"/>
      <c r="D583" s="1"/>
      <c r="E583" s="1"/>
      <c r="F583" s="1"/>
      <c r="G583" s="1"/>
      <c r="H583" s="2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>
      <c r="A584" s="1"/>
      <c r="B584" s="1"/>
      <c r="C584" s="1"/>
      <c r="D584" s="1"/>
      <c r="E584" s="1"/>
      <c r="F584" s="1"/>
      <c r="G584" s="1"/>
      <c r="H584" s="2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>
      <c r="A585" s="1"/>
      <c r="B585" s="1"/>
      <c r="C585" s="1"/>
      <c r="D585" s="1"/>
      <c r="E585" s="1"/>
      <c r="F585" s="1"/>
      <c r="G585" s="1"/>
      <c r="H585" s="2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>
      <c r="A586" s="1"/>
      <c r="B586" s="1"/>
      <c r="C586" s="1"/>
      <c r="D586" s="1"/>
      <c r="E586" s="1"/>
      <c r="F586" s="1"/>
      <c r="G586" s="1"/>
      <c r="H586" s="2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>
      <c r="A587" s="1"/>
      <c r="B587" s="1"/>
      <c r="C587" s="1"/>
      <c r="D587" s="1"/>
      <c r="E587" s="1"/>
      <c r="F587" s="1"/>
      <c r="G587" s="1"/>
      <c r="H587" s="2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>
      <c r="A588" s="1"/>
      <c r="B588" s="1"/>
      <c r="C588" s="1"/>
      <c r="D588" s="1"/>
      <c r="E588" s="1"/>
      <c r="F588" s="1"/>
      <c r="G588" s="1"/>
      <c r="H588" s="2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>
      <c r="A589" s="1"/>
      <c r="B589" s="1"/>
      <c r="C589" s="1"/>
      <c r="D589" s="1"/>
      <c r="E589" s="1"/>
      <c r="F589" s="1"/>
      <c r="G589" s="1"/>
      <c r="H589" s="2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>
      <c r="A590" s="1"/>
      <c r="B590" s="1"/>
      <c r="C590" s="1"/>
      <c r="D590" s="1"/>
      <c r="E590" s="1"/>
      <c r="F590" s="1"/>
      <c r="G590" s="1"/>
      <c r="H590" s="2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>
      <c r="A591" s="1"/>
      <c r="B591" s="1"/>
      <c r="C591" s="1"/>
      <c r="D591" s="1"/>
      <c r="E591" s="1"/>
      <c r="F591" s="1"/>
      <c r="G591" s="1"/>
      <c r="H591" s="2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>
      <c r="A592" s="1"/>
      <c r="B592" s="1"/>
      <c r="C592" s="1"/>
      <c r="D592" s="1"/>
      <c r="E592" s="1"/>
      <c r="F592" s="1"/>
      <c r="G592" s="1"/>
      <c r="H592" s="2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>
      <c r="A593" s="1"/>
      <c r="B593" s="1"/>
      <c r="C593" s="1"/>
      <c r="D593" s="1"/>
      <c r="E593" s="1"/>
      <c r="F593" s="1"/>
      <c r="G593" s="1"/>
      <c r="H593" s="2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>
      <c r="A594" s="1"/>
      <c r="B594" s="1"/>
      <c r="C594" s="1"/>
      <c r="D594" s="1"/>
      <c r="E594" s="1"/>
      <c r="F594" s="1"/>
      <c r="G594" s="1"/>
      <c r="H594" s="2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>
      <c r="A595" s="1"/>
      <c r="B595" s="1"/>
      <c r="C595" s="1"/>
      <c r="D595" s="1"/>
      <c r="E595" s="1"/>
      <c r="F595" s="1"/>
      <c r="G595" s="1"/>
      <c r="H595" s="2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>
      <c r="A596" s="1"/>
      <c r="B596" s="1"/>
      <c r="C596" s="1"/>
      <c r="D596" s="1"/>
      <c r="E596" s="1"/>
      <c r="F596" s="1"/>
      <c r="G596" s="1"/>
      <c r="H596" s="2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>
      <c r="A597" s="1"/>
      <c r="B597" s="1"/>
      <c r="C597" s="1"/>
      <c r="D597" s="1"/>
      <c r="E597" s="1"/>
      <c r="F597" s="1"/>
      <c r="G597" s="1"/>
      <c r="H597" s="2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>
      <c r="A598" s="1"/>
      <c r="B598" s="1"/>
      <c r="C598" s="1"/>
      <c r="D598" s="1"/>
      <c r="E598" s="1"/>
      <c r="F598" s="1"/>
      <c r="G598" s="1"/>
      <c r="H598" s="2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>
      <c r="A599" s="1"/>
      <c r="B599" s="1"/>
      <c r="C599" s="1"/>
      <c r="D599" s="1"/>
      <c r="E599" s="1"/>
      <c r="F599" s="1"/>
      <c r="G599" s="1"/>
      <c r="H599" s="2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>
      <c r="A600" s="1"/>
      <c r="B600" s="1"/>
      <c r="C600" s="1"/>
      <c r="D600" s="1"/>
      <c r="E600" s="1"/>
      <c r="F600" s="1"/>
      <c r="G600" s="1"/>
      <c r="H600" s="2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>
      <c r="A601" s="1"/>
      <c r="B601" s="1"/>
      <c r="C601" s="1"/>
      <c r="D601" s="1"/>
      <c r="E601" s="1"/>
      <c r="F601" s="1"/>
      <c r="G601" s="1"/>
      <c r="H601" s="2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>
      <c r="A602" s="1"/>
      <c r="B602" s="1"/>
      <c r="C602" s="1"/>
      <c r="D602" s="1"/>
      <c r="E602" s="1"/>
      <c r="F602" s="1"/>
      <c r="G602" s="1"/>
      <c r="H602" s="2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>
      <c r="A603" s="1"/>
      <c r="B603" s="1"/>
      <c r="C603" s="1"/>
      <c r="D603" s="1"/>
      <c r="E603" s="1"/>
      <c r="F603" s="1"/>
      <c r="G603" s="1"/>
      <c r="H603" s="2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>
      <c r="A604" s="1"/>
      <c r="B604" s="1"/>
      <c r="C604" s="1"/>
      <c r="D604" s="1"/>
      <c r="E604" s="1"/>
      <c r="F604" s="1"/>
      <c r="G604" s="1"/>
      <c r="H604" s="2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>
      <c r="A605" s="1"/>
      <c r="B605" s="1"/>
      <c r="C605" s="1"/>
      <c r="D605" s="1"/>
      <c r="E605" s="1"/>
      <c r="F605" s="1"/>
      <c r="G605" s="1"/>
      <c r="H605" s="2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>
      <c r="A606" s="1"/>
      <c r="B606" s="1"/>
      <c r="C606" s="1"/>
      <c r="D606" s="1"/>
      <c r="E606" s="1"/>
      <c r="F606" s="1"/>
      <c r="G606" s="1"/>
      <c r="H606" s="2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>
      <c r="A607" s="1"/>
      <c r="B607" s="1"/>
      <c r="C607" s="1"/>
      <c r="D607" s="1"/>
      <c r="E607" s="1"/>
      <c r="F607" s="1"/>
      <c r="G607" s="1"/>
      <c r="H607" s="2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>
      <c r="A608" s="1"/>
      <c r="B608" s="1"/>
      <c r="C608" s="1"/>
      <c r="D608" s="1"/>
      <c r="E608" s="1"/>
      <c r="F608" s="1"/>
      <c r="G608" s="1"/>
      <c r="H608" s="2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>
      <c r="A609" s="1"/>
      <c r="B609" s="1"/>
      <c r="C609" s="1"/>
      <c r="D609" s="1"/>
      <c r="E609" s="1"/>
      <c r="F609" s="1"/>
      <c r="G609" s="1"/>
      <c r="H609" s="2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>
      <c r="A610" s="1"/>
      <c r="B610" s="1"/>
      <c r="C610" s="1"/>
      <c r="D610" s="1"/>
      <c r="E610" s="1"/>
      <c r="F610" s="1"/>
      <c r="G610" s="1"/>
      <c r="H610" s="2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>
      <c r="A611" s="1"/>
      <c r="B611" s="1"/>
      <c r="C611" s="1"/>
      <c r="D611" s="1"/>
      <c r="E611" s="1"/>
      <c r="F611" s="1"/>
      <c r="G611" s="1"/>
      <c r="H611" s="2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>
      <c r="A612" s="1"/>
      <c r="B612" s="1"/>
      <c r="C612" s="1"/>
      <c r="D612" s="1"/>
      <c r="E612" s="1"/>
      <c r="F612" s="1"/>
      <c r="G612" s="1"/>
      <c r="H612" s="2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>
      <c r="A613" s="1"/>
      <c r="B613" s="1"/>
      <c r="C613" s="1"/>
      <c r="D613" s="1"/>
      <c r="E613" s="1"/>
      <c r="F613" s="1"/>
      <c r="G613" s="1"/>
      <c r="H613" s="2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>
      <c r="A614" s="1"/>
      <c r="B614" s="1"/>
      <c r="C614" s="1"/>
      <c r="D614" s="1"/>
      <c r="E614" s="1"/>
      <c r="F614" s="1"/>
      <c r="G614" s="1"/>
      <c r="H614" s="2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>
      <c r="A615" s="1"/>
      <c r="B615" s="1"/>
      <c r="C615" s="1"/>
      <c r="D615" s="1"/>
      <c r="E615" s="1"/>
      <c r="F615" s="1"/>
      <c r="G615" s="1"/>
      <c r="H615" s="2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>
      <c r="A616" s="1"/>
      <c r="B616" s="1"/>
      <c r="C616" s="1"/>
      <c r="D616" s="1"/>
      <c r="E616" s="1"/>
      <c r="F616" s="1"/>
      <c r="G616" s="1"/>
      <c r="H616" s="2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>
      <c r="A617" s="1"/>
      <c r="B617" s="1"/>
      <c r="C617" s="1"/>
      <c r="D617" s="1"/>
      <c r="E617" s="1"/>
      <c r="F617" s="1"/>
      <c r="G617" s="1"/>
      <c r="H617" s="2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>
      <c r="A618" s="1"/>
      <c r="B618" s="1"/>
      <c r="C618" s="1"/>
      <c r="D618" s="1"/>
      <c r="E618" s="1"/>
      <c r="F618" s="1"/>
      <c r="G618" s="1"/>
      <c r="H618" s="2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>
      <c r="A619" s="1"/>
      <c r="B619" s="1"/>
      <c r="C619" s="1"/>
      <c r="D619" s="1"/>
      <c r="E619" s="1"/>
      <c r="F619" s="1"/>
      <c r="G619" s="1"/>
      <c r="H619" s="2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>
      <c r="A620" s="1"/>
      <c r="B620" s="1"/>
      <c r="C620" s="1"/>
      <c r="D620" s="1"/>
      <c r="E620" s="1"/>
      <c r="F620" s="1"/>
      <c r="G620" s="1"/>
      <c r="H620" s="2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>
      <c r="A621" s="1"/>
      <c r="B621" s="1"/>
      <c r="C621" s="1"/>
      <c r="D621" s="1"/>
      <c r="E621" s="1"/>
      <c r="F621" s="1"/>
      <c r="G621" s="1"/>
      <c r="H621" s="2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>
      <c r="A622" s="1"/>
      <c r="B622" s="1"/>
      <c r="C622" s="1"/>
      <c r="D622" s="1"/>
      <c r="E622" s="1"/>
      <c r="F622" s="1"/>
      <c r="G622" s="1"/>
      <c r="H622" s="2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>
      <c r="A623" s="1"/>
      <c r="B623" s="1"/>
      <c r="C623" s="1"/>
      <c r="D623" s="1"/>
      <c r="E623" s="1"/>
      <c r="F623" s="1"/>
      <c r="G623" s="1"/>
      <c r="H623" s="2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>
      <c r="A624" s="1"/>
      <c r="B624" s="1"/>
      <c r="C624" s="1"/>
      <c r="D624" s="1"/>
      <c r="E624" s="1"/>
      <c r="F624" s="1"/>
      <c r="G624" s="1"/>
      <c r="H624" s="2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>
      <c r="A625" s="1"/>
      <c r="B625" s="1"/>
      <c r="C625" s="1"/>
      <c r="D625" s="1"/>
      <c r="E625" s="1"/>
      <c r="F625" s="1"/>
      <c r="G625" s="1"/>
      <c r="H625" s="2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>
      <c r="A626" s="1"/>
      <c r="B626" s="1"/>
      <c r="C626" s="1"/>
      <c r="D626" s="1"/>
      <c r="E626" s="1"/>
      <c r="F626" s="1"/>
      <c r="G626" s="1"/>
      <c r="H626" s="2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>
      <c r="A627" s="1"/>
      <c r="B627" s="1"/>
      <c r="C627" s="1"/>
      <c r="D627" s="1"/>
      <c r="E627" s="1"/>
      <c r="F627" s="1"/>
      <c r="G627" s="1"/>
      <c r="H627" s="2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>
      <c r="A628" s="1"/>
      <c r="B628" s="1"/>
      <c r="C628" s="1"/>
      <c r="D628" s="1"/>
      <c r="E628" s="1"/>
      <c r="F628" s="1"/>
      <c r="G628" s="1"/>
      <c r="H628" s="2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>
      <c r="A629" s="1"/>
      <c r="B629" s="1"/>
      <c r="C629" s="1"/>
      <c r="D629" s="1"/>
      <c r="E629" s="1"/>
      <c r="F629" s="1"/>
      <c r="G629" s="1"/>
      <c r="H629" s="2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>
      <c r="A630" s="1"/>
      <c r="B630" s="1"/>
      <c r="C630" s="1"/>
      <c r="D630" s="1"/>
      <c r="E630" s="1"/>
      <c r="F630" s="1"/>
      <c r="G630" s="1"/>
      <c r="H630" s="2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>
      <c r="A631" s="1"/>
      <c r="B631" s="1"/>
      <c r="C631" s="1"/>
      <c r="D631" s="1"/>
      <c r="E631" s="1"/>
      <c r="F631" s="1"/>
      <c r="G631" s="1"/>
      <c r="H631" s="2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>
      <c r="A632" s="1"/>
      <c r="B632" s="1"/>
      <c r="C632" s="1"/>
      <c r="D632" s="1"/>
      <c r="E632" s="1"/>
      <c r="F632" s="1"/>
      <c r="G632" s="1"/>
      <c r="H632" s="2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>
      <c r="A633" s="1"/>
      <c r="B633" s="1"/>
      <c r="C633" s="1"/>
      <c r="D633" s="1"/>
      <c r="E633" s="1"/>
      <c r="F633" s="1"/>
      <c r="G633" s="1"/>
      <c r="H633" s="2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>
      <c r="A634" s="1"/>
      <c r="B634" s="1"/>
      <c r="C634" s="1"/>
      <c r="D634" s="1"/>
      <c r="E634" s="1"/>
      <c r="F634" s="1"/>
      <c r="G634" s="1"/>
      <c r="H634" s="2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>
      <c r="A635" s="1"/>
      <c r="B635" s="1"/>
      <c r="C635" s="1"/>
      <c r="D635" s="1"/>
      <c r="E635" s="1"/>
      <c r="F635" s="1"/>
      <c r="G635" s="1"/>
      <c r="H635" s="2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>
      <c r="A636" s="1"/>
      <c r="B636" s="1"/>
      <c r="C636" s="1"/>
      <c r="D636" s="1"/>
      <c r="E636" s="1"/>
      <c r="F636" s="1"/>
      <c r="G636" s="1"/>
      <c r="H636" s="2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>
      <c r="A637" s="1"/>
      <c r="B637" s="1"/>
      <c r="C637" s="1"/>
      <c r="D637" s="1"/>
      <c r="E637" s="1"/>
      <c r="F637" s="1"/>
      <c r="G637" s="1"/>
      <c r="H637" s="2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>
      <c r="A638" s="1"/>
      <c r="B638" s="1"/>
      <c r="C638" s="1"/>
      <c r="D638" s="1"/>
      <c r="E638" s="1"/>
      <c r="F638" s="1"/>
      <c r="G638" s="1"/>
      <c r="H638" s="2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>
      <c r="A639" s="1"/>
      <c r="B639" s="1"/>
      <c r="C639" s="1"/>
      <c r="D639" s="1"/>
      <c r="E639" s="1"/>
      <c r="F639" s="1"/>
      <c r="G639" s="1"/>
      <c r="H639" s="2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>
      <c r="A640" s="1"/>
      <c r="B640" s="1"/>
      <c r="C640" s="1"/>
      <c r="D640" s="1"/>
      <c r="E640" s="1"/>
      <c r="F640" s="1"/>
      <c r="G640" s="1"/>
      <c r="H640" s="2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>
      <c r="A641" s="1"/>
      <c r="B641" s="1"/>
      <c r="C641" s="1"/>
      <c r="D641" s="1"/>
      <c r="E641" s="1"/>
      <c r="F641" s="1"/>
      <c r="G641" s="1"/>
      <c r="H641" s="2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>
      <c r="A642" s="1"/>
      <c r="B642" s="1"/>
      <c r="C642" s="1"/>
      <c r="D642" s="1"/>
      <c r="E642" s="1"/>
      <c r="F642" s="1"/>
      <c r="G642" s="1"/>
      <c r="H642" s="2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>
      <c r="A643" s="1"/>
      <c r="B643" s="1"/>
      <c r="C643" s="1"/>
      <c r="D643" s="1"/>
      <c r="E643" s="1"/>
      <c r="F643" s="1"/>
      <c r="G643" s="1"/>
      <c r="H643" s="2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>
      <c r="A644" s="1"/>
      <c r="B644" s="1"/>
      <c r="C644" s="1"/>
      <c r="D644" s="1"/>
      <c r="E644" s="1"/>
      <c r="F644" s="1"/>
      <c r="G644" s="1"/>
      <c r="H644" s="2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>
      <c r="A645" s="1"/>
      <c r="B645" s="1"/>
      <c r="C645" s="1"/>
      <c r="D645" s="1"/>
      <c r="E645" s="1"/>
      <c r="F645" s="1"/>
      <c r="G645" s="1"/>
      <c r="H645" s="2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>
      <c r="A646" s="1"/>
      <c r="B646" s="1"/>
      <c r="C646" s="1"/>
      <c r="D646" s="1"/>
      <c r="E646" s="1"/>
      <c r="F646" s="1"/>
      <c r="G646" s="1"/>
      <c r="H646" s="2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>
      <c r="A647" s="1"/>
      <c r="B647" s="1"/>
      <c r="C647" s="1"/>
      <c r="D647" s="1"/>
      <c r="E647" s="1"/>
      <c r="F647" s="1"/>
      <c r="G647" s="1"/>
      <c r="H647" s="2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>
      <c r="A648" s="1"/>
      <c r="B648" s="1"/>
      <c r="C648" s="1"/>
      <c r="D648" s="1"/>
      <c r="E648" s="1"/>
      <c r="F648" s="1"/>
      <c r="G648" s="1"/>
      <c r="H648" s="2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>
      <c r="A649" s="1"/>
      <c r="B649" s="1"/>
      <c r="C649" s="1"/>
      <c r="D649" s="1"/>
      <c r="E649" s="1"/>
      <c r="F649" s="1"/>
      <c r="G649" s="1"/>
      <c r="H649" s="2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>
      <c r="A650" s="1"/>
      <c r="B650" s="1"/>
      <c r="C650" s="1"/>
      <c r="D650" s="1"/>
      <c r="E650" s="1"/>
      <c r="F650" s="1"/>
      <c r="G650" s="1"/>
      <c r="H650" s="2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>
      <c r="A651" s="1"/>
      <c r="B651" s="1"/>
      <c r="C651" s="1"/>
      <c r="D651" s="1"/>
      <c r="E651" s="1"/>
      <c r="F651" s="1"/>
      <c r="G651" s="1"/>
      <c r="H651" s="2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>
      <c r="A652" s="1"/>
      <c r="B652" s="1"/>
      <c r="C652" s="1"/>
      <c r="D652" s="1"/>
      <c r="E652" s="1"/>
      <c r="F652" s="1"/>
      <c r="G652" s="1"/>
      <c r="H652" s="2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>
      <c r="A653" s="1"/>
      <c r="B653" s="1"/>
      <c r="C653" s="1"/>
      <c r="D653" s="1"/>
      <c r="E653" s="1"/>
      <c r="F653" s="1"/>
      <c r="G653" s="1"/>
      <c r="H653" s="2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>
      <c r="A654" s="1"/>
      <c r="B654" s="1"/>
      <c r="C654" s="1"/>
      <c r="D654" s="1"/>
      <c r="E654" s="1"/>
      <c r="F654" s="1"/>
      <c r="G654" s="1"/>
      <c r="H654" s="2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>
      <c r="A655" s="1"/>
      <c r="B655" s="1"/>
      <c r="C655" s="1"/>
      <c r="D655" s="1"/>
      <c r="E655" s="1"/>
      <c r="F655" s="1"/>
      <c r="G655" s="1"/>
      <c r="H655" s="2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>
      <c r="A656" s="1"/>
      <c r="B656" s="1"/>
      <c r="C656" s="1"/>
      <c r="D656" s="1"/>
      <c r="E656" s="1"/>
      <c r="F656" s="1"/>
      <c r="G656" s="1"/>
      <c r="H656" s="2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>
      <c r="A657" s="1"/>
      <c r="B657" s="1"/>
      <c r="C657" s="1"/>
      <c r="D657" s="1"/>
      <c r="E657" s="1"/>
      <c r="F657" s="1"/>
      <c r="G657" s="1"/>
      <c r="H657" s="2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>
      <c r="A658" s="1"/>
      <c r="B658" s="1"/>
      <c r="C658" s="1"/>
      <c r="D658" s="1"/>
      <c r="E658" s="1"/>
      <c r="F658" s="1"/>
      <c r="G658" s="1"/>
      <c r="H658" s="2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>
      <c r="A659" s="1"/>
      <c r="B659" s="1"/>
      <c r="C659" s="1"/>
      <c r="D659" s="1"/>
      <c r="E659" s="1"/>
      <c r="F659" s="1"/>
      <c r="G659" s="1"/>
      <c r="H659" s="2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>
      <c r="A660" s="1"/>
      <c r="B660" s="1"/>
      <c r="C660" s="1"/>
      <c r="D660" s="1"/>
      <c r="E660" s="1"/>
      <c r="F660" s="1"/>
      <c r="G660" s="1"/>
      <c r="H660" s="2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>
      <c r="A661" s="1"/>
      <c r="B661" s="1"/>
      <c r="C661" s="1"/>
      <c r="D661" s="1"/>
      <c r="E661" s="1"/>
      <c r="F661" s="1"/>
      <c r="G661" s="1"/>
      <c r="H661" s="2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>
      <c r="A662" s="1"/>
      <c r="B662" s="1"/>
      <c r="C662" s="1"/>
      <c r="D662" s="1"/>
      <c r="E662" s="1"/>
      <c r="F662" s="1"/>
      <c r="G662" s="1"/>
      <c r="H662" s="2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>
      <c r="A663" s="1"/>
      <c r="B663" s="1"/>
      <c r="C663" s="1"/>
      <c r="D663" s="1"/>
      <c r="E663" s="1"/>
      <c r="F663" s="1"/>
      <c r="G663" s="1"/>
      <c r="H663" s="2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>
      <c r="A664" s="1"/>
      <c r="B664" s="1"/>
      <c r="C664" s="1"/>
      <c r="D664" s="1"/>
      <c r="E664" s="1"/>
      <c r="F664" s="1"/>
      <c r="G664" s="1"/>
      <c r="H664" s="2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>
      <c r="A665" s="1"/>
      <c r="B665" s="1"/>
      <c r="C665" s="1"/>
      <c r="D665" s="1"/>
      <c r="E665" s="1"/>
      <c r="F665" s="1"/>
      <c r="G665" s="1"/>
      <c r="H665" s="2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>
      <c r="A666" s="1"/>
      <c r="B666" s="1"/>
      <c r="C666" s="1"/>
      <c r="D666" s="1"/>
      <c r="E666" s="1"/>
      <c r="F666" s="1"/>
      <c r="G666" s="1"/>
      <c r="H666" s="2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>
      <c r="A667" s="1"/>
      <c r="B667" s="1"/>
      <c r="C667" s="1"/>
      <c r="D667" s="1"/>
      <c r="E667" s="1"/>
      <c r="F667" s="1"/>
      <c r="G667" s="1"/>
      <c r="H667" s="2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>
      <c r="A668" s="1"/>
      <c r="B668" s="1"/>
      <c r="C668" s="1"/>
      <c r="D668" s="1"/>
      <c r="E668" s="1"/>
      <c r="F668" s="1"/>
      <c r="G668" s="1"/>
      <c r="H668" s="2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>
      <c r="A669" s="1"/>
      <c r="B669" s="1"/>
      <c r="C669" s="1"/>
      <c r="D669" s="1"/>
      <c r="E669" s="1"/>
      <c r="F669" s="1"/>
      <c r="G669" s="1"/>
      <c r="H669" s="2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>
      <c r="A670" s="1"/>
      <c r="B670" s="1"/>
      <c r="C670" s="1"/>
      <c r="D670" s="1"/>
      <c r="E670" s="1"/>
      <c r="F670" s="1"/>
      <c r="G670" s="1"/>
      <c r="H670" s="2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>
      <c r="A671" s="1"/>
      <c r="B671" s="1"/>
      <c r="C671" s="1"/>
      <c r="D671" s="1"/>
      <c r="E671" s="1"/>
      <c r="F671" s="1"/>
      <c r="G671" s="1"/>
      <c r="H671" s="2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>
      <c r="A672" s="1"/>
      <c r="B672" s="1"/>
      <c r="C672" s="1"/>
      <c r="D672" s="1"/>
      <c r="E672" s="1"/>
      <c r="F672" s="1"/>
      <c r="G672" s="1"/>
      <c r="H672" s="2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>
      <c r="A673" s="1"/>
      <c r="B673" s="1"/>
      <c r="C673" s="1"/>
      <c r="D673" s="1"/>
      <c r="E673" s="1"/>
      <c r="F673" s="1"/>
      <c r="G673" s="1"/>
      <c r="H673" s="2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>
      <c r="A674" s="1"/>
      <c r="B674" s="1"/>
      <c r="C674" s="1"/>
      <c r="D674" s="1"/>
      <c r="E674" s="1"/>
      <c r="F674" s="1"/>
      <c r="G674" s="1"/>
      <c r="H674" s="2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>
      <c r="A675" s="1"/>
      <c r="B675" s="1"/>
      <c r="C675" s="1"/>
      <c r="D675" s="1"/>
      <c r="E675" s="1"/>
      <c r="F675" s="1"/>
      <c r="G675" s="1"/>
      <c r="H675" s="2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>
      <c r="A676" s="1"/>
      <c r="B676" s="1"/>
      <c r="C676" s="1"/>
      <c r="D676" s="1"/>
      <c r="E676" s="1"/>
      <c r="F676" s="1"/>
      <c r="G676" s="1"/>
      <c r="H676" s="2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>
      <c r="A677" s="1"/>
      <c r="B677" s="1"/>
      <c r="C677" s="1"/>
      <c r="D677" s="1"/>
      <c r="E677" s="1"/>
      <c r="F677" s="1"/>
      <c r="G677" s="1"/>
      <c r="H677" s="2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>
      <c r="A678" s="1"/>
      <c r="B678" s="1"/>
      <c r="C678" s="1"/>
      <c r="D678" s="1"/>
      <c r="E678" s="1"/>
      <c r="F678" s="1"/>
      <c r="G678" s="1"/>
      <c r="H678" s="2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>
      <c r="A679" s="1"/>
      <c r="B679" s="1"/>
      <c r="C679" s="1"/>
      <c r="D679" s="1"/>
      <c r="E679" s="1"/>
      <c r="F679" s="1"/>
      <c r="G679" s="1"/>
      <c r="H679" s="2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>
      <c r="A680" s="1"/>
      <c r="B680" s="1"/>
      <c r="C680" s="1"/>
      <c r="D680" s="1"/>
      <c r="E680" s="1"/>
      <c r="F680" s="1"/>
      <c r="G680" s="1"/>
      <c r="H680" s="2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>
      <c r="A681" s="1"/>
      <c r="B681" s="1"/>
      <c r="C681" s="1"/>
      <c r="D681" s="1"/>
      <c r="E681" s="1"/>
      <c r="F681" s="1"/>
      <c r="G681" s="1"/>
      <c r="H681" s="2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>
      <c r="A682" s="1"/>
      <c r="B682" s="1"/>
      <c r="C682" s="1"/>
      <c r="D682" s="1"/>
      <c r="E682" s="1"/>
      <c r="F682" s="1"/>
      <c r="G682" s="1"/>
      <c r="H682" s="2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>
      <c r="A683" s="1"/>
      <c r="B683" s="1"/>
      <c r="C683" s="1"/>
      <c r="D683" s="1"/>
      <c r="E683" s="1"/>
      <c r="F683" s="1"/>
      <c r="G683" s="1"/>
      <c r="H683" s="2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>
      <c r="A684" s="1"/>
      <c r="B684" s="1"/>
      <c r="C684" s="1"/>
      <c r="D684" s="1"/>
      <c r="E684" s="1"/>
      <c r="F684" s="1"/>
      <c r="G684" s="1"/>
      <c r="H684" s="2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>
      <c r="A685" s="1"/>
      <c r="B685" s="1"/>
      <c r="C685" s="1"/>
      <c r="D685" s="1"/>
      <c r="E685" s="1"/>
      <c r="F685" s="1"/>
      <c r="G685" s="1"/>
      <c r="H685" s="2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>
      <c r="A686" s="1"/>
      <c r="B686" s="1"/>
      <c r="C686" s="1"/>
      <c r="D686" s="1"/>
      <c r="E686" s="1"/>
      <c r="F686" s="1"/>
      <c r="G686" s="1"/>
      <c r="H686" s="2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>
      <c r="A687" s="1"/>
      <c r="B687" s="1"/>
      <c r="C687" s="1"/>
      <c r="D687" s="1"/>
      <c r="E687" s="1"/>
      <c r="F687" s="1"/>
      <c r="G687" s="1"/>
      <c r="H687" s="2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>
      <c r="A688" s="1"/>
      <c r="B688" s="1"/>
      <c r="C688" s="1"/>
      <c r="D688" s="1"/>
      <c r="E688" s="1"/>
      <c r="F688" s="1"/>
      <c r="G688" s="1"/>
      <c r="H688" s="2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>
      <c r="A689" s="1"/>
      <c r="B689" s="1"/>
      <c r="C689" s="1"/>
      <c r="D689" s="1"/>
      <c r="E689" s="1"/>
      <c r="F689" s="1"/>
      <c r="G689" s="1"/>
      <c r="H689" s="2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>
      <c r="A690" s="1"/>
      <c r="B690" s="1"/>
      <c r="C690" s="1"/>
      <c r="D690" s="1"/>
      <c r="E690" s="1"/>
      <c r="F690" s="1"/>
      <c r="G690" s="1"/>
      <c r="H690" s="2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>
      <c r="A691" s="1"/>
      <c r="B691" s="1"/>
      <c r="C691" s="1"/>
      <c r="D691" s="1"/>
      <c r="E691" s="1"/>
      <c r="F691" s="1"/>
      <c r="G691" s="1"/>
      <c r="H691" s="2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>
      <c r="A692" s="1"/>
      <c r="B692" s="1"/>
      <c r="C692" s="1"/>
      <c r="D692" s="1"/>
      <c r="E692" s="1"/>
      <c r="F692" s="1"/>
      <c r="G692" s="1"/>
      <c r="H692" s="2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>
      <c r="A693" s="1"/>
      <c r="B693" s="1"/>
      <c r="C693" s="1"/>
      <c r="D693" s="1"/>
      <c r="E693" s="1"/>
      <c r="F693" s="1"/>
      <c r="G693" s="1"/>
      <c r="H693" s="2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>
      <c r="A694" s="1"/>
      <c r="B694" s="1"/>
      <c r="C694" s="1"/>
      <c r="D694" s="1"/>
      <c r="E694" s="1"/>
      <c r="F694" s="1"/>
      <c r="G694" s="1"/>
      <c r="H694" s="2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>
      <c r="A695" s="1"/>
      <c r="B695" s="1"/>
      <c r="C695" s="1"/>
      <c r="D695" s="1"/>
      <c r="E695" s="1"/>
      <c r="F695" s="1"/>
      <c r="G695" s="1"/>
      <c r="H695" s="2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>
      <c r="A696" s="1"/>
      <c r="B696" s="1"/>
      <c r="C696" s="1"/>
      <c r="D696" s="1"/>
      <c r="E696" s="1"/>
      <c r="F696" s="1"/>
      <c r="G696" s="1"/>
      <c r="H696" s="2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>
      <c r="A697" s="1"/>
      <c r="B697" s="1"/>
      <c r="C697" s="1"/>
      <c r="D697" s="1"/>
      <c r="E697" s="1"/>
      <c r="F697" s="1"/>
      <c r="G697" s="1"/>
      <c r="H697" s="2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>
      <c r="A698" s="1"/>
      <c r="B698" s="1"/>
      <c r="C698" s="1"/>
      <c r="D698" s="1"/>
      <c r="E698" s="1"/>
      <c r="F698" s="1"/>
      <c r="G698" s="1"/>
      <c r="H698" s="2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>
      <c r="A699" s="1"/>
      <c r="B699" s="1"/>
      <c r="C699" s="1"/>
      <c r="D699" s="1"/>
      <c r="E699" s="1"/>
      <c r="F699" s="1"/>
      <c r="G699" s="1"/>
      <c r="H699" s="2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>
      <c r="A700" s="1"/>
      <c r="B700" s="1"/>
      <c r="C700" s="1"/>
      <c r="D700" s="1"/>
      <c r="E700" s="1"/>
      <c r="F700" s="1"/>
      <c r="G700" s="1"/>
      <c r="H700" s="2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>
      <c r="A701" s="1"/>
      <c r="B701" s="1"/>
      <c r="C701" s="1"/>
      <c r="D701" s="1"/>
      <c r="E701" s="1"/>
      <c r="F701" s="1"/>
      <c r="G701" s="1"/>
      <c r="H701" s="2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>
      <c r="A702" s="1"/>
      <c r="B702" s="1"/>
      <c r="C702" s="1"/>
      <c r="D702" s="1"/>
      <c r="E702" s="1"/>
      <c r="F702" s="1"/>
      <c r="G702" s="1"/>
      <c r="H702" s="2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>
      <c r="A703" s="1"/>
      <c r="B703" s="1"/>
      <c r="C703" s="1"/>
      <c r="D703" s="1"/>
      <c r="E703" s="1"/>
      <c r="F703" s="1"/>
      <c r="G703" s="1"/>
      <c r="H703" s="2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>
      <c r="A704" s="1"/>
      <c r="B704" s="1"/>
      <c r="C704" s="1"/>
      <c r="D704" s="1"/>
      <c r="E704" s="1"/>
      <c r="F704" s="1"/>
      <c r="G704" s="1"/>
      <c r="H704" s="2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>
      <c r="A705" s="1"/>
      <c r="B705" s="1"/>
      <c r="C705" s="1"/>
      <c r="D705" s="1"/>
      <c r="E705" s="1"/>
      <c r="F705" s="1"/>
      <c r="G705" s="1"/>
      <c r="H705" s="2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>
      <c r="A706" s="1"/>
      <c r="B706" s="1"/>
      <c r="C706" s="1"/>
      <c r="D706" s="1"/>
      <c r="E706" s="1"/>
      <c r="F706" s="1"/>
      <c r="G706" s="1"/>
      <c r="H706" s="2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>
      <c r="A707" s="1"/>
      <c r="B707" s="1"/>
      <c r="C707" s="1"/>
      <c r="D707" s="1"/>
      <c r="E707" s="1"/>
      <c r="F707" s="1"/>
      <c r="G707" s="1"/>
      <c r="H707" s="2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>
      <c r="A708" s="1"/>
      <c r="B708" s="1"/>
      <c r="C708" s="1"/>
      <c r="D708" s="1"/>
      <c r="E708" s="1"/>
      <c r="F708" s="1"/>
      <c r="G708" s="1"/>
      <c r="H708" s="2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>
      <c r="A709" s="1"/>
      <c r="B709" s="1"/>
      <c r="C709" s="1"/>
      <c r="D709" s="1"/>
      <c r="E709" s="1"/>
      <c r="F709" s="1"/>
      <c r="G709" s="1"/>
      <c r="H709" s="2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>
      <c r="A710" s="1"/>
      <c r="B710" s="1"/>
      <c r="C710" s="1"/>
      <c r="D710" s="1"/>
      <c r="E710" s="1"/>
      <c r="F710" s="1"/>
      <c r="G710" s="1"/>
      <c r="H710" s="2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>
      <c r="A711" s="1"/>
      <c r="B711" s="1"/>
      <c r="C711" s="1"/>
      <c r="D711" s="1"/>
      <c r="E711" s="1"/>
      <c r="F711" s="1"/>
      <c r="G711" s="1"/>
      <c r="H711" s="2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>
      <c r="A712" s="1"/>
      <c r="B712" s="1"/>
      <c r="C712" s="1"/>
      <c r="D712" s="1"/>
      <c r="E712" s="1"/>
      <c r="F712" s="1"/>
      <c r="G712" s="1"/>
      <c r="H712" s="2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>
      <c r="A713" s="1"/>
      <c r="B713" s="1"/>
      <c r="C713" s="1"/>
      <c r="D713" s="1"/>
      <c r="E713" s="1"/>
      <c r="F713" s="1"/>
      <c r="G713" s="1"/>
      <c r="H713" s="2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>
      <c r="A714" s="1"/>
      <c r="B714" s="1"/>
      <c r="C714" s="1"/>
      <c r="D714" s="1"/>
      <c r="E714" s="1"/>
      <c r="F714" s="1"/>
      <c r="G714" s="1"/>
      <c r="H714" s="2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>
      <c r="A715" s="1"/>
      <c r="B715" s="1"/>
      <c r="C715" s="1"/>
      <c r="D715" s="1"/>
      <c r="E715" s="1"/>
      <c r="F715" s="1"/>
      <c r="G715" s="1"/>
      <c r="H715" s="2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>
      <c r="A716" s="1"/>
      <c r="B716" s="1"/>
      <c r="C716" s="1"/>
      <c r="D716" s="1"/>
      <c r="E716" s="1"/>
      <c r="F716" s="1"/>
      <c r="G716" s="1"/>
      <c r="H716" s="2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>
      <c r="A717" s="1"/>
      <c r="B717" s="1"/>
      <c r="C717" s="1"/>
      <c r="D717" s="1"/>
      <c r="E717" s="1"/>
      <c r="F717" s="1"/>
      <c r="G717" s="1"/>
      <c r="H717" s="2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>
      <c r="A718" s="1"/>
      <c r="B718" s="1"/>
      <c r="C718" s="1"/>
      <c r="D718" s="1"/>
      <c r="E718" s="1"/>
      <c r="F718" s="1"/>
      <c r="G718" s="1"/>
      <c r="H718" s="2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>
      <c r="A719" s="1"/>
      <c r="B719" s="1"/>
      <c r="C719" s="1"/>
      <c r="D719" s="1"/>
      <c r="E719" s="1"/>
      <c r="F719" s="1"/>
      <c r="G719" s="1"/>
      <c r="H719" s="2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>
      <c r="A720" s="1"/>
      <c r="B720" s="1"/>
      <c r="C720" s="1"/>
      <c r="D720" s="1"/>
      <c r="E720" s="1"/>
      <c r="F720" s="1"/>
      <c r="G720" s="1"/>
      <c r="H720" s="2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>
      <c r="A721" s="1"/>
      <c r="B721" s="1"/>
      <c r="C721" s="1"/>
      <c r="D721" s="1"/>
      <c r="E721" s="1"/>
      <c r="F721" s="1"/>
      <c r="G721" s="1"/>
      <c r="H721" s="2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>
      <c r="A722" s="1"/>
      <c r="B722" s="1"/>
      <c r="C722" s="1"/>
      <c r="D722" s="1"/>
      <c r="E722" s="1"/>
      <c r="F722" s="1"/>
      <c r="G722" s="1"/>
      <c r="H722" s="2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>
      <c r="A723" s="1"/>
      <c r="B723" s="1"/>
      <c r="C723" s="1"/>
      <c r="D723" s="1"/>
      <c r="E723" s="1"/>
      <c r="F723" s="1"/>
      <c r="G723" s="1"/>
      <c r="H723" s="2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>
      <c r="A724" s="1"/>
      <c r="B724" s="1"/>
      <c r="C724" s="1"/>
      <c r="D724" s="1"/>
      <c r="E724" s="1"/>
      <c r="F724" s="1"/>
      <c r="G724" s="1"/>
      <c r="H724" s="2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>
      <c r="A725" s="1"/>
      <c r="B725" s="1"/>
      <c r="C725" s="1"/>
      <c r="D725" s="1"/>
      <c r="E725" s="1"/>
      <c r="F725" s="1"/>
      <c r="G725" s="1"/>
      <c r="H725" s="2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>
      <c r="A726" s="1"/>
      <c r="B726" s="1"/>
      <c r="C726" s="1"/>
      <c r="D726" s="1"/>
      <c r="E726" s="1"/>
      <c r="F726" s="1"/>
      <c r="G726" s="1"/>
      <c r="H726" s="2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>
      <c r="A727" s="1"/>
      <c r="B727" s="1"/>
      <c r="C727" s="1"/>
      <c r="D727" s="1"/>
      <c r="E727" s="1"/>
      <c r="F727" s="1"/>
      <c r="G727" s="1"/>
      <c r="H727" s="2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>
      <c r="A728" s="1"/>
      <c r="B728" s="1"/>
      <c r="C728" s="1"/>
      <c r="D728" s="1"/>
      <c r="E728" s="1"/>
      <c r="F728" s="1"/>
      <c r="G728" s="1"/>
      <c r="H728" s="2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>
      <c r="A729" s="1"/>
      <c r="B729" s="1"/>
      <c r="C729" s="1"/>
      <c r="D729" s="1"/>
      <c r="E729" s="1"/>
      <c r="F729" s="1"/>
      <c r="G729" s="1"/>
      <c r="H729" s="2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>
      <c r="A730" s="1"/>
      <c r="B730" s="1"/>
      <c r="C730" s="1"/>
      <c r="D730" s="1"/>
      <c r="E730" s="1"/>
      <c r="F730" s="1"/>
      <c r="G730" s="1"/>
      <c r="H730" s="2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>
      <c r="A731" s="1"/>
      <c r="B731" s="1"/>
      <c r="C731" s="1"/>
      <c r="D731" s="1"/>
      <c r="E731" s="1"/>
      <c r="F731" s="1"/>
      <c r="G731" s="1"/>
      <c r="H731" s="2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>
      <c r="A732" s="1"/>
      <c r="B732" s="1"/>
      <c r="C732" s="1"/>
      <c r="D732" s="1"/>
      <c r="E732" s="1"/>
      <c r="F732" s="1"/>
      <c r="G732" s="1"/>
      <c r="H732" s="2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>
      <c r="A733" s="1"/>
      <c r="B733" s="1"/>
      <c r="C733" s="1"/>
      <c r="D733" s="1"/>
      <c r="E733" s="1"/>
      <c r="F733" s="1"/>
      <c r="G733" s="1"/>
      <c r="H733" s="2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>
      <c r="A734" s="1"/>
      <c r="B734" s="1"/>
      <c r="C734" s="1"/>
      <c r="D734" s="1"/>
      <c r="E734" s="1"/>
      <c r="F734" s="1"/>
      <c r="G734" s="1"/>
      <c r="H734" s="2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>
      <c r="A735" s="1"/>
      <c r="B735" s="1"/>
      <c r="C735" s="1"/>
      <c r="D735" s="1"/>
      <c r="E735" s="1"/>
      <c r="F735" s="1"/>
      <c r="G735" s="1"/>
      <c r="H735" s="2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>
      <c r="A736" s="1"/>
      <c r="B736" s="1"/>
      <c r="C736" s="1"/>
      <c r="D736" s="1"/>
      <c r="E736" s="1"/>
      <c r="F736" s="1"/>
      <c r="G736" s="1"/>
      <c r="H736" s="2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>
      <c r="A737" s="1"/>
      <c r="B737" s="1"/>
      <c r="C737" s="1"/>
      <c r="D737" s="1"/>
      <c r="E737" s="1"/>
      <c r="F737" s="1"/>
      <c r="G737" s="1"/>
      <c r="H737" s="2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>
      <c r="A738" s="1"/>
      <c r="B738" s="1"/>
      <c r="C738" s="1"/>
      <c r="D738" s="1"/>
      <c r="E738" s="1"/>
      <c r="F738" s="1"/>
      <c r="G738" s="1"/>
      <c r="H738" s="2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>
      <c r="A739" s="1"/>
      <c r="B739" s="1"/>
      <c r="C739" s="1"/>
      <c r="D739" s="1"/>
      <c r="E739" s="1"/>
      <c r="F739" s="1"/>
      <c r="G739" s="1"/>
      <c r="H739" s="2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>
      <c r="A740" s="1"/>
      <c r="B740" s="1"/>
      <c r="C740" s="1"/>
      <c r="D740" s="1"/>
      <c r="E740" s="1"/>
      <c r="F740" s="1"/>
      <c r="G740" s="1"/>
      <c r="H740" s="2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>
      <c r="A741" s="1"/>
      <c r="B741" s="1"/>
      <c r="C741" s="1"/>
      <c r="D741" s="1"/>
      <c r="E741" s="1"/>
      <c r="F741" s="1"/>
      <c r="G741" s="1"/>
      <c r="H741" s="2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>
      <c r="A742" s="1"/>
      <c r="B742" s="1"/>
      <c r="C742" s="1"/>
      <c r="D742" s="1"/>
      <c r="E742" s="1"/>
      <c r="F742" s="1"/>
      <c r="G742" s="1"/>
      <c r="H742" s="2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>
      <c r="A743" s="1"/>
      <c r="B743" s="1"/>
      <c r="C743" s="1"/>
      <c r="D743" s="1"/>
      <c r="E743" s="1"/>
      <c r="F743" s="1"/>
      <c r="G743" s="1"/>
      <c r="H743" s="2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>
      <c r="A744" s="1"/>
      <c r="B744" s="1"/>
      <c r="C744" s="1"/>
      <c r="D744" s="1"/>
      <c r="E744" s="1"/>
      <c r="F744" s="1"/>
      <c r="G744" s="1"/>
      <c r="H744" s="2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>
      <c r="A745" s="1"/>
      <c r="B745" s="1"/>
      <c r="C745" s="1"/>
      <c r="D745" s="1"/>
      <c r="E745" s="1"/>
      <c r="F745" s="1"/>
      <c r="G745" s="1"/>
      <c r="H745" s="2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>
      <c r="A746" s="1"/>
      <c r="B746" s="1"/>
      <c r="C746" s="1"/>
      <c r="D746" s="1"/>
      <c r="E746" s="1"/>
      <c r="F746" s="1"/>
      <c r="G746" s="1"/>
      <c r="H746" s="2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>
      <c r="A747" s="1"/>
      <c r="B747" s="1"/>
      <c r="C747" s="1"/>
      <c r="D747" s="1"/>
      <c r="E747" s="1"/>
      <c r="F747" s="1"/>
      <c r="G747" s="1"/>
      <c r="H747" s="2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>
      <c r="A748" s="1"/>
      <c r="B748" s="1"/>
      <c r="C748" s="1"/>
      <c r="D748" s="1"/>
      <c r="E748" s="1"/>
      <c r="F748" s="1"/>
      <c r="G748" s="1"/>
      <c r="H748" s="2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>
      <c r="A749" s="1"/>
      <c r="B749" s="1"/>
      <c r="C749" s="1"/>
      <c r="D749" s="1"/>
      <c r="E749" s="1"/>
      <c r="F749" s="1"/>
      <c r="G749" s="1"/>
      <c r="H749" s="2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>
      <c r="A750" s="1"/>
      <c r="B750" s="1"/>
      <c r="C750" s="1"/>
      <c r="D750" s="1"/>
      <c r="E750" s="1"/>
      <c r="F750" s="1"/>
      <c r="G750" s="1"/>
      <c r="H750" s="2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>
      <c r="A751" s="1"/>
      <c r="B751" s="1"/>
      <c r="C751" s="1"/>
      <c r="D751" s="1"/>
      <c r="E751" s="1"/>
      <c r="F751" s="1"/>
      <c r="G751" s="1"/>
      <c r="H751" s="2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>
      <c r="A752" s="1"/>
      <c r="B752" s="1"/>
      <c r="C752" s="1"/>
      <c r="D752" s="1"/>
      <c r="E752" s="1"/>
      <c r="F752" s="1"/>
      <c r="G752" s="1"/>
      <c r="H752" s="2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>
      <c r="A753" s="1"/>
      <c r="B753" s="1"/>
      <c r="C753" s="1"/>
      <c r="D753" s="1"/>
      <c r="E753" s="1"/>
      <c r="F753" s="1"/>
      <c r="G753" s="1"/>
      <c r="H753" s="2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>
      <c r="A754" s="1"/>
      <c r="B754" s="1"/>
      <c r="C754" s="1"/>
      <c r="D754" s="1"/>
      <c r="E754" s="1"/>
      <c r="F754" s="1"/>
      <c r="G754" s="1"/>
      <c r="H754" s="2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>
      <c r="A755" s="1"/>
      <c r="B755" s="1"/>
      <c r="C755" s="1"/>
      <c r="D755" s="1"/>
      <c r="E755" s="1"/>
      <c r="F755" s="1"/>
      <c r="G755" s="1"/>
      <c r="H755" s="2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>
      <c r="A756" s="1"/>
      <c r="B756" s="1"/>
      <c r="C756" s="1"/>
      <c r="D756" s="1"/>
      <c r="E756" s="1"/>
      <c r="F756" s="1"/>
      <c r="G756" s="1"/>
      <c r="H756" s="2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>
      <c r="A757" s="1"/>
      <c r="B757" s="1"/>
      <c r="C757" s="1"/>
      <c r="D757" s="1"/>
      <c r="E757" s="1"/>
      <c r="F757" s="1"/>
      <c r="G757" s="1"/>
      <c r="H757" s="2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>
      <c r="A758" s="1"/>
      <c r="B758" s="1"/>
      <c r="C758" s="1"/>
      <c r="D758" s="1"/>
      <c r="E758" s="1"/>
      <c r="F758" s="1"/>
      <c r="G758" s="1"/>
      <c r="H758" s="2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>
      <c r="A759" s="1"/>
      <c r="B759" s="1"/>
      <c r="C759" s="1"/>
      <c r="D759" s="1"/>
      <c r="E759" s="1"/>
      <c r="F759" s="1"/>
      <c r="G759" s="1"/>
      <c r="H759" s="2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>
      <c r="A760" s="1"/>
      <c r="B760" s="1"/>
      <c r="C760" s="1"/>
      <c r="D760" s="1"/>
      <c r="E760" s="1"/>
      <c r="F760" s="1"/>
      <c r="G760" s="1"/>
      <c r="H760" s="2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>
      <c r="A761" s="1"/>
      <c r="B761" s="1"/>
      <c r="C761" s="1"/>
      <c r="D761" s="1"/>
      <c r="E761" s="1"/>
      <c r="F761" s="1"/>
      <c r="G761" s="1"/>
      <c r="H761" s="2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>
      <c r="A762" s="1"/>
      <c r="B762" s="1"/>
      <c r="C762" s="1"/>
      <c r="D762" s="1"/>
      <c r="E762" s="1"/>
      <c r="F762" s="1"/>
      <c r="G762" s="1"/>
      <c r="H762" s="2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>
      <c r="A763" s="1"/>
      <c r="B763" s="1"/>
      <c r="C763" s="1"/>
      <c r="D763" s="1"/>
      <c r="E763" s="1"/>
      <c r="F763" s="1"/>
      <c r="G763" s="1"/>
      <c r="H763" s="2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>
      <c r="A764" s="1"/>
      <c r="B764" s="1"/>
      <c r="C764" s="1"/>
      <c r="D764" s="1"/>
      <c r="E764" s="1"/>
      <c r="F764" s="1"/>
      <c r="G764" s="1"/>
      <c r="H764" s="2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>
      <c r="A765" s="1"/>
      <c r="B765" s="1"/>
      <c r="C765" s="1"/>
      <c r="D765" s="1"/>
      <c r="E765" s="1"/>
      <c r="F765" s="1"/>
      <c r="G765" s="1"/>
      <c r="H765" s="2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>
      <c r="A766" s="1"/>
      <c r="B766" s="1"/>
      <c r="C766" s="1"/>
      <c r="D766" s="1"/>
      <c r="E766" s="1"/>
      <c r="F766" s="1"/>
      <c r="G766" s="1"/>
      <c r="H766" s="2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>
      <c r="A767" s="1"/>
      <c r="B767" s="1"/>
      <c r="C767" s="1"/>
      <c r="D767" s="1"/>
      <c r="E767" s="1"/>
      <c r="F767" s="1"/>
      <c r="G767" s="1"/>
      <c r="H767" s="2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>
      <c r="A768" s="1"/>
      <c r="B768" s="1"/>
      <c r="C768" s="1"/>
      <c r="D768" s="1"/>
      <c r="E768" s="1"/>
      <c r="F768" s="1"/>
      <c r="G768" s="1"/>
      <c r="H768" s="2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>
      <c r="A769" s="1"/>
      <c r="B769" s="1"/>
      <c r="C769" s="1"/>
      <c r="D769" s="1"/>
      <c r="E769" s="1"/>
      <c r="F769" s="1"/>
      <c r="G769" s="1"/>
      <c r="H769" s="2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>
      <c r="A770" s="1"/>
      <c r="B770" s="1"/>
      <c r="C770" s="1"/>
      <c r="D770" s="1"/>
      <c r="E770" s="1"/>
      <c r="F770" s="1"/>
      <c r="G770" s="1"/>
      <c r="H770" s="2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>
      <c r="A771" s="1"/>
      <c r="B771" s="1"/>
      <c r="C771" s="1"/>
      <c r="D771" s="1"/>
      <c r="E771" s="1"/>
      <c r="F771" s="1"/>
      <c r="G771" s="1"/>
      <c r="H771" s="2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>
      <c r="A772" s="1"/>
      <c r="B772" s="1"/>
      <c r="C772" s="1"/>
      <c r="D772" s="1"/>
      <c r="E772" s="1"/>
      <c r="F772" s="1"/>
      <c r="G772" s="1"/>
      <c r="H772" s="2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>
      <c r="A773" s="1"/>
      <c r="B773" s="1"/>
      <c r="C773" s="1"/>
      <c r="D773" s="1"/>
      <c r="E773" s="1"/>
      <c r="F773" s="1"/>
      <c r="G773" s="1"/>
      <c r="H773" s="2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>
      <c r="A774" s="1"/>
      <c r="B774" s="1"/>
      <c r="C774" s="1"/>
      <c r="D774" s="1"/>
      <c r="E774" s="1"/>
      <c r="F774" s="1"/>
      <c r="G774" s="1"/>
      <c r="H774" s="2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>
      <c r="A775" s="1"/>
      <c r="B775" s="1"/>
      <c r="C775" s="1"/>
      <c r="D775" s="1"/>
      <c r="E775" s="1"/>
      <c r="F775" s="1"/>
      <c r="G775" s="1"/>
      <c r="H775" s="2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>
      <c r="A776" s="1"/>
      <c r="B776" s="1"/>
      <c r="C776" s="1"/>
      <c r="D776" s="1"/>
      <c r="E776" s="1"/>
      <c r="F776" s="1"/>
      <c r="G776" s="1"/>
      <c r="H776" s="2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>
      <c r="A777" s="1"/>
      <c r="B777" s="1"/>
      <c r="C777" s="1"/>
      <c r="D777" s="1"/>
      <c r="E777" s="1"/>
      <c r="F777" s="1"/>
      <c r="G777" s="1"/>
      <c r="H777" s="2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>
      <c r="A778" s="1"/>
      <c r="B778" s="1"/>
      <c r="C778" s="1"/>
      <c r="D778" s="1"/>
      <c r="E778" s="1"/>
      <c r="F778" s="1"/>
      <c r="G778" s="1"/>
      <c r="H778" s="2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>
      <c r="A779" s="1"/>
      <c r="B779" s="1"/>
      <c r="C779" s="1"/>
      <c r="D779" s="1"/>
      <c r="E779" s="1"/>
      <c r="F779" s="1"/>
      <c r="G779" s="1"/>
      <c r="H779" s="2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>
      <c r="A780" s="1"/>
      <c r="B780" s="1"/>
      <c r="C780" s="1"/>
      <c r="D780" s="1"/>
      <c r="E780" s="1"/>
      <c r="F780" s="1"/>
      <c r="G780" s="1"/>
      <c r="H780" s="2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>
      <c r="A781" s="1"/>
      <c r="B781" s="1"/>
      <c r="C781" s="1"/>
      <c r="D781" s="1"/>
      <c r="E781" s="1"/>
      <c r="F781" s="1"/>
      <c r="G781" s="1"/>
      <c r="H781" s="2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>
      <c r="A782" s="1"/>
      <c r="B782" s="1"/>
      <c r="C782" s="1"/>
      <c r="D782" s="1"/>
      <c r="E782" s="1"/>
      <c r="F782" s="1"/>
      <c r="G782" s="1"/>
      <c r="H782" s="2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>
      <c r="A783" s="1"/>
      <c r="B783" s="1"/>
      <c r="C783" s="1"/>
      <c r="D783" s="1"/>
      <c r="E783" s="1"/>
      <c r="F783" s="1"/>
      <c r="G783" s="1"/>
      <c r="H783" s="2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>
      <c r="A784" s="1"/>
      <c r="B784" s="1"/>
      <c r="C784" s="1"/>
      <c r="D784" s="1"/>
      <c r="E784" s="1"/>
      <c r="F784" s="1"/>
      <c r="G784" s="1"/>
      <c r="H784" s="2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>
      <c r="A785" s="1"/>
      <c r="B785" s="1"/>
      <c r="C785" s="1"/>
      <c r="D785" s="1"/>
      <c r="E785" s="1"/>
      <c r="F785" s="1"/>
      <c r="G785" s="1"/>
      <c r="H785" s="2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>
      <c r="A786" s="1"/>
      <c r="B786" s="1"/>
      <c r="C786" s="1"/>
      <c r="D786" s="1"/>
      <c r="E786" s="1"/>
      <c r="F786" s="1"/>
      <c r="G786" s="1"/>
      <c r="H786" s="2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>
      <c r="A787" s="1"/>
      <c r="B787" s="1"/>
      <c r="C787" s="1"/>
      <c r="D787" s="1"/>
      <c r="E787" s="1"/>
      <c r="F787" s="1"/>
      <c r="G787" s="1"/>
      <c r="H787" s="2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>
      <c r="A788" s="1"/>
      <c r="B788" s="1"/>
      <c r="C788" s="1"/>
      <c r="D788" s="1"/>
      <c r="E788" s="1"/>
      <c r="F788" s="1"/>
      <c r="G788" s="1"/>
      <c r="H788" s="2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>
      <c r="A789" s="1"/>
      <c r="B789" s="1"/>
      <c r="C789" s="1"/>
      <c r="D789" s="1"/>
      <c r="E789" s="1"/>
      <c r="F789" s="1"/>
      <c r="G789" s="1"/>
      <c r="H789" s="2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>
      <c r="A790" s="1"/>
      <c r="B790" s="1"/>
      <c r="C790" s="1"/>
      <c r="D790" s="1"/>
      <c r="E790" s="1"/>
      <c r="F790" s="1"/>
      <c r="G790" s="1"/>
      <c r="H790" s="2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>
      <c r="A791" s="1"/>
      <c r="B791" s="1"/>
      <c r="C791" s="1"/>
      <c r="D791" s="1"/>
      <c r="E791" s="1"/>
      <c r="F791" s="1"/>
      <c r="G791" s="1"/>
      <c r="H791" s="2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>
      <c r="A792" s="1"/>
      <c r="B792" s="1"/>
      <c r="C792" s="1"/>
      <c r="D792" s="1"/>
      <c r="E792" s="1"/>
      <c r="F792" s="1"/>
      <c r="G792" s="1"/>
      <c r="H792" s="2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>
      <c r="A793" s="1"/>
      <c r="B793" s="1"/>
      <c r="C793" s="1"/>
      <c r="D793" s="1"/>
      <c r="E793" s="1"/>
      <c r="F793" s="1"/>
      <c r="G793" s="1"/>
      <c r="H793" s="2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>
      <c r="A794" s="1"/>
      <c r="B794" s="1"/>
      <c r="C794" s="1"/>
      <c r="D794" s="1"/>
      <c r="E794" s="1"/>
      <c r="F794" s="1"/>
      <c r="G794" s="1"/>
      <c r="H794" s="2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>
      <c r="A795" s="1"/>
      <c r="B795" s="1"/>
      <c r="C795" s="1"/>
      <c r="D795" s="1"/>
      <c r="E795" s="1"/>
      <c r="F795" s="1"/>
      <c r="G795" s="1"/>
      <c r="H795" s="2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>
      <c r="A796" s="1"/>
      <c r="B796" s="1"/>
      <c r="C796" s="1"/>
      <c r="D796" s="1"/>
      <c r="E796" s="1"/>
      <c r="F796" s="1"/>
      <c r="G796" s="1"/>
      <c r="H796" s="2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>
      <c r="A797" s="1"/>
      <c r="B797" s="1"/>
      <c r="C797" s="1"/>
      <c r="D797" s="1"/>
      <c r="E797" s="1"/>
      <c r="F797" s="1"/>
      <c r="G797" s="1"/>
      <c r="H797" s="2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>
      <c r="A798" s="1"/>
      <c r="B798" s="1"/>
      <c r="C798" s="1"/>
      <c r="D798" s="1"/>
      <c r="E798" s="1"/>
      <c r="F798" s="1"/>
      <c r="G798" s="1"/>
      <c r="H798" s="2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>
      <c r="A799" s="1"/>
      <c r="B799" s="1"/>
      <c r="C799" s="1"/>
      <c r="D799" s="1"/>
      <c r="E799" s="1"/>
      <c r="F799" s="1"/>
      <c r="G799" s="1"/>
      <c r="H799" s="2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>
      <c r="A800" s="1"/>
      <c r="B800" s="1"/>
      <c r="C800" s="1"/>
      <c r="D800" s="1"/>
      <c r="E800" s="1"/>
      <c r="F800" s="1"/>
      <c r="G800" s="1"/>
      <c r="H800" s="2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>
      <c r="A801" s="1"/>
      <c r="B801" s="1"/>
      <c r="C801" s="1"/>
      <c r="D801" s="1"/>
      <c r="E801" s="1"/>
      <c r="F801" s="1"/>
      <c r="G801" s="1"/>
      <c r="H801" s="2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>
      <c r="A802" s="1"/>
      <c r="B802" s="1"/>
      <c r="C802" s="1"/>
      <c r="D802" s="1"/>
      <c r="E802" s="1"/>
      <c r="F802" s="1"/>
      <c r="G802" s="1"/>
      <c r="H802" s="2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>
      <c r="A803" s="1"/>
      <c r="B803" s="1"/>
      <c r="C803" s="1"/>
      <c r="D803" s="1"/>
      <c r="E803" s="1"/>
      <c r="F803" s="1"/>
      <c r="G803" s="1"/>
      <c r="H803" s="2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>
      <c r="A804" s="1"/>
      <c r="B804" s="1"/>
      <c r="C804" s="1"/>
      <c r="D804" s="1"/>
      <c r="E804" s="1"/>
      <c r="F804" s="1"/>
      <c r="G804" s="1"/>
      <c r="H804" s="2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>
      <c r="A805" s="1"/>
      <c r="B805" s="1"/>
      <c r="C805" s="1"/>
      <c r="D805" s="1"/>
      <c r="E805" s="1"/>
      <c r="F805" s="1"/>
      <c r="G805" s="1"/>
      <c r="H805" s="2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>
      <c r="A806" s="1"/>
      <c r="B806" s="1"/>
      <c r="C806" s="1"/>
      <c r="D806" s="1"/>
      <c r="E806" s="1"/>
      <c r="F806" s="1"/>
      <c r="G806" s="1"/>
      <c r="H806" s="2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>
      <c r="A807" s="1"/>
      <c r="B807" s="1"/>
      <c r="C807" s="1"/>
      <c r="D807" s="1"/>
      <c r="E807" s="1"/>
      <c r="F807" s="1"/>
      <c r="G807" s="1"/>
      <c r="H807" s="2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>
      <c r="A808" s="1"/>
      <c r="B808" s="1"/>
      <c r="C808" s="1"/>
      <c r="D808" s="1"/>
      <c r="E808" s="1"/>
      <c r="F808" s="1"/>
      <c r="G808" s="1"/>
      <c r="H808" s="2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>
      <c r="A809" s="1"/>
      <c r="B809" s="1"/>
      <c r="C809" s="1"/>
      <c r="D809" s="1"/>
      <c r="E809" s="1"/>
      <c r="F809" s="1"/>
      <c r="G809" s="1"/>
      <c r="H809" s="2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>
      <c r="A810" s="1"/>
      <c r="B810" s="1"/>
      <c r="C810" s="1"/>
      <c r="D810" s="1"/>
      <c r="E810" s="1"/>
      <c r="F810" s="1"/>
      <c r="G810" s="1"/>
      <c r="H810" s="2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>
      <c r="A811" s="1"/>
      <c r="B811" s="1"/>
      <c r="C811" s="1"/>
      <c r="D811" s="1"/>
      <c r="E811" s="1"/>
      <c r="F811" s="1"/>
      <c r="G811" s="1"/>
      <c r="H811" s="2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>
      <c r="A812" s="1"/>
      <c r="B812" s="1"/>
      <c r="C812" s="1"/>
      <c r="D812" s="1"/>
      <c r="E812" s="1"/>
      <c r="F812" s="1"/>
      <c r="G812" s="1"/>
      <c r="H812" s="2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>
      <c r="A813" s="1"/>
      <c r="B813" s="1"/>
      <c r="C813" s="1"/>
      <c r="D813" s="1"/>
      <c r="E813" s="1"/>
      <c r="F813" s="1"/>
      <c r="G813" s="1"/>
      <c r="H813" s="2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>
      <c r="A814" s="1"/>
      <c r="B814" s="1"/>
      <c r="C814" s="1"/>
      <c r="D814" s="1"/>
      <c r="E814" s="1"/>
      <c r="F814" s="1"/>
      <c r="G814" s="1"/>
      <c r="H814" s="2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>
      <c r="A815" s="1"/>
      <c r="B815" s="1"/>
      <c r="C815" s="1"/>
      <c r="D815" s="1"/>
      <c r="E815" s="1"/>
      <c r="F815" s="1"/>
      <c r="G815" s="1"/>
      <c r="H815" s="2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>
      <c r="A816" s="1"/>
      <c r="B816" s="1"/>
      <c r="C816" s="1"/>
      <c r="D816" s="1"/>
      <c r="E816" s="1"/>
      <c r="F816" s="1"/>
      <c r="G816" s="1"/>
      <c r="H816" s="2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>
      <c r="A817" s="1"/>
      <c r="B817" s="1"/>
      <c r="C817" s="1"/>
      <c r="D817" s="1"/>
      <c r="E817" s="1"/>
      <c r="F817" s="1"/>
      <c r="G817" s="1"/>
      <c r="H817" s="2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>
      <c r="A818" s="1"/>
      <c r="B818" s="1"/>
      <c r="C818" s="1"/>
      <c r="D818" s="1"/>
      <c r="E818" s="1"/>
      <c r="F818" s="1"/>
      <c r="G818" s="1"/>
      <c r="H818" s="2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>
      <c r="A819" s="1"/>
      <c r="B819" s="1"/>
      <c r="C819" s="1"/>
      <c r="D819" s="1"/>
      <c r="E819" s="1"/>
      <c r="F819" s="1"/>
      <c r="G819" s="1"/>
      <c r="H819" s="2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>
      <c r="A820" s="1"/>
      <c r="B820" s="1"/>
      <c r="C820" s="1"/>
      <c r="D820" s="1"/>
      <c r="E820" s="1"/>
      <c r="F820" s="1"/>
      <c r="G820" s="1"/>
      <c r="H820" s="2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>
      <c r="A821" s="1"/>
      <c r="B821" s="1"/>
      <c r="C821" s="1"/>
      <c r="D821" s="1"/>
      <c r="E821" s="1"/>
      <c r="F821" s="1"/>
      <c r="G821" s="1"/>
      <c r="H821" s="2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>
      <c r="A822" s="1"/>
      <c r="B822" s="1"/>
      <c r="C822" s="1"/>
      <c r="D822" s="1"/>
      <c r="E822" s="1"/>
      <c r="F822" s="1"/>
      <c r="G822" s="1"/>
      <c r="H822" s="2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>
      <c r="A823" s="1"/>
      <c r="B823" s="1"/>
      <c r="C823" s="1"/>
      <c r="D823" s="1"/>
      <c r="E823" s="1"/>
      <c r="F823" s="1"/>
      <c r="G823" s="1"/>
      <c r="H823" s="2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>
      <c r="A824" s="1"/>
      <c r="B824" s="1"/>
      <c r="C824" s="1"/>
      <c r="D824" s="1"/>
      <c r="E824" s="1"/>
      <c r="F824" s="1"/>
      <c r="G824" s="1"/>
      <c r="H824" s="2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>
      <c r="A825" s="1"/>
      <c r="B825" s="1"/>
      <c r="C825" s="1"/>
      <c r="D825" s="1"/>
      <c r="E825" s="1"/>
      <c r="F825" s="1"/>
      <c r="G825" s="1"/>
      <c r="H825" s="2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>
      <c r="A826" s="1"/>
      <c r="B826" s="1"/>
      <c r="C826" s="1"/>
      <c r="D826" s="1"/>
      <c r="E826" s="1"/>
      <c r="F826" s="1"/>
      <c r="G826" s="1"/>
      <c r="H826" s="2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>
      <c r="A827" s="1"/>
      <c r="B827" s="1"/>
      <c r="C827" s="1"/>
      <c r="D827" s="1"/>
      <c r="E827" s="1"/>
      <c r="F827" s="1"/>
      <c r="G827" s="1"/>
      <c r="H827" s="2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>
      <c r="A828" s="1"/>
      <c r="B828" s="1"/>
      <c r="C828" s="1"/>
      <c r="D828" s="1"/>
      <c r="E828" s="1"/>
      <c r="F828" s="1"/>
      <c r="G828" s="1"/>
      <c r="H828" s="2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>
      <c r="A829" s="1"/>
      <c r="B829" s="1"/>
      <c r="C829" s="1"/>
      <c r="D829" s="1"/>
      <c r="E829" s="1"/>
      <c r="F829" s="1"/>
      <c r="G829" s="1"/>
      <c r="H829" s="2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>
      <c r="A830" s="1"/>
      <c r="B830" s="1"/>
      <c r="C830" s="1"/>
      <c r="D830" s="1"/>
      <c r="E830" s="1"/>
      <c r="F830" s="1"/>
      <c r="G830" s="1"/>
      <c r="H830" s="2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>
      <c r="A831" s="1"/>
      <c r="B831" s="1"/>
      <c r="C831" s="1"/>
      <c r="D831" s="1"/>
      <c r="E831" s="1"/>
      <c r="F831" s="1"/>
      <c r="G831" s="1"/>
      <c r="H831" s="2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>
      <c r="A832" s="1"/>
      <c r="B832" s="1"/>
      <c r="C832" s="1"/>
      <c r="D832" s="1"/>
      <c r="E832" s="1"/>
      <c r="F832" s="1"/>
      <c r="G832" s="1"/>
      <c r="H832" s="2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>
      <c r="A833" s="1"/>
      <c r="B833" s="1"/>
      <c r="C833" s="1"/>
      <c r="D833" s="1"/>
      <c r="E833" s="1"/>
      <c r="F833" s="1"/>
      <c r="G833" s="1"/>
      <c r="H833" s="2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>
      <c r="A834" s="1"/>
      <c r="B834" s="1"/>
      <c r="C834" s="1"/>
      <c r="D834" s="1"/>
      <c r="E834" s="1"/>
      <c r="F834" s="1"/>
      <c r="G834" s="1"/>
      <c r="H834" s="2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>
      <c r="A835" s="1"/>
      <c r="B835" s="1"/>
      <c r="C835" s="1"/>
      <c r="D835" s="1"/>
      <c r="E835" s="1"/>
      <c r="F835" s="1"/>
      <c r="G835" s="1"/>
      <c r="H835" s="2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>
      <c r="A836" s="1"/>
      <c r="B836" s="1"/>
      <c r="C836" s="1"/>
      <c r="D836" s="1"/>
      <c r="E836" s="1"/>
      <c r="F836" s="1"/>
      <c r="G836" s="1"/>
      <c r="H836" s="2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>
      <c r="A837" s="1"/>
      <c r="B837" s="1"/>
      <c r="C837" s="1"/>
      <c r="D837" s="1"/>
      <c r="E837" s="1"/>
      <c r="F837" s="1"/>
      <c r="G837" s="1"/>
      <c r="H837" s="2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>
      <c r="A838" s="1"/>
      <c r="B838" s="1"/>
      <c r="C838" s="1"/>
      <c r="D838" s="1"/>
      <c r="E838" s="1"/>
      <c r="F838" s="1"/>
      <c r="G838" s="1"/>
      <c r="H838" s="2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>
      <c r="A839" s="1"/>
      <c r="B839" s="1"/>
      <c r="C839" s="1"/>
      <c r="D839" s="1"/>
      <c r="E839" s="1"/>
      <c r="F839" s="1"/>
      <c r="G839" s="1"/>
      <c r="H839" s="2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>
      <c r="A840" s="1"/>
      <c r="B840" s="1"/>
      <c r="C840" s="1"/>
      <c r="D840" s="1"/>
      <c r="E840" s="1"/>
      <c r="F840" s="1"/>
      <c r="G840" s="1"/>
      <c r="H840" s="2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>
      <c r="A841" s="1"/>
      <c r="B841" s="1"/>
      <c r="C841" s="1"/>
      <c r="D841" s="1"/>
      <c r="E841" s="1"/>
      <c r="F841" s="1"/>
      <c r="G841" s="1"/>
      <c r="H841" s="2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>
      <c r="A842" s="1"/>
      <c r="B842" s="1"/>
      <c r="C842" s="1"/>
      <c r="D842" s="1"/>
      <c r="E842" s="1"/>
      <c r="F842" s="1"/>
      <c r="G842" s="1"/>
      <c r="H842" s="2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>
      <c r="A843" s="1"/>
      <c r="B843" s="1"/>
      <c r="C843" s="1"/>
      <c r="D843" s="1"/>
      <c r="E843" s="1"/>
      <c r="F843" s="1"/>
      <c r="G843" s="1"/>
      <c r="H843" s="2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>
      <c r="A844" s="1"/>
      <c r="B844" s="1"/>
      <c r="C844" s="1"/>
      <c r="D844" s="1"/>
      <c r="E844" s="1"/>
      <c r="F844" s="1"/>
      <c r="G844" s="1"/>
      <c r="H844" s="2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>
      <c r="A845" s="1"/>
      <c r="B845" s="1"/>
      <c r="C845" s="1"/>
      <c r="D845" s="1"/>
      <c r="E845" s="1"/>
      <c r="F845" s="1"/>
      <c r="G845" s="1"/>
      <c r="H845" s="2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>
      <c r="A846" s="1"/>
      <c r="B846" s="1"/>
      <c r="C846" s="1"/>
      <c r="D846" s="1"/>
      <c r="E846" s="1"/>
      <c r="F846" s="1"/>
      <c r="G846" s="1"/>
      <c r="H846" s="2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>
      <c r="A847" s="1"/>
      <c r="B847" s="1"/>
      <c r="C847" s="1"/>
      <c r="D847" s="1"/>
      <c r="E847" s="1"/>
      <c r="F847" s="1"/>
      <c r="G847" s="1"/>
      <c r="H847" s="2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>
      <c r="A848" s="1"/>
      <c r="B848" s="1"/>
      <c r="C848" s="1"/>
      <c r="D848" s="1"/>
      <c r="E848" s="1"/>
      <c r="F848" s="1"/>
      <c r="G848" s="1"/>
      <c r="H848" s="2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>
      <c r="A849" s="1"/>
      <c r="B849" s="1"/>
      <c r="C849" s="1"/>
      <c r="D849" s="1"/>
      <c r="E849" s="1"/>
      <c r="F849" s="1"/>
      <c r="G849" s="1"/>
      <c r="H849" s="2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>
      <c r="A850" s="1"/>
      <c r="B850" s="1"/>
      <c r="C850" s="1"/>
      <c r="D850" s="1"/>
      <c r="E850" s="1"/>
      <c r="F850" s="1"/>
      <c r="G850" s="1"/>
      <c r="H850" s="2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>
      <c r="A851" s="1"/>
      <c r="B851" s="1"/>
      <c r="C851" s="1"/>
      <c r="D851" s="1"/>
      <c r="E851" s="1"/>
      <c r="F851" s="1"/>
      <c r="G851" s="1"/>
      <c r="H851" s="2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>
      <c r="A852" s="1"/>
      <c r="B852" s="1"/>
      <c r="C852" s="1"/>
      <c r="D852" s="1"/>
      <c r="E852" s="1"/>
      <c r="F852" s="1"/>
      <c r="G852" s="1"/>
      <c r="H852" s="2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>
      <c r="A853" s="1"/>
      <c r="B853" s="1"/>
      <c r="C853" s="1"/>
      <c r="D853" s="1"/>
      <c r="E853" s="1"/>
      <c r="F853" s="1"/>
      <c r="G853" s="1"/>
      <c r="H853" s="2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>
      <c r="A854" s="1"/>
      <c r="B854" s="1"/>
      <c r="C854" s="1"/>
      <c r="D854" s="1"/>
      <c r="E854" s="1"/>
      <c r="F854" s="1"/>
      <c r="G854" s="1"/>
      <c r="H854" s="2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>
      <c r="A855" s="1"/>
      <c r="B855" s="1"/>
      <c r="C855" s="1"/>
      <c r="D855" s="1"/>
      <c r="E855" s="1"/>
      <c r="F855" s="1"/>
      <c r="G855" s="1"/>
      <c r="H855" s="2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>
      <c r="A856" s="1"/>
      <c r="B856" s="1"/>
      <c r="C856" s="1"/>
      <c r="D856" s="1"/>
      <c r="E856" s="1"/>
      <c r="F856" s="1"/>
      <c r="G856" s="1"/>
      <c r="H856" s="2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>
      <c r="A857" s="1"/>
      <c r="B857" s="1"/>
      <c r="C857" s="1"/>
      <c r="D857" s="1"/>
      <c r="E857" s="1"/>
      <c r="F857" s="1"/>
      <c r="G857" s="1"/>
      <c r="H857" s="2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>
      <c r="A858" s="1"/>
      <c r="B858" s="1"/>
      <c r="C858" s="1"/>
      <c r="D858" s="1"/>
      <c r="E858" s="1"/>
      <c r="F858" s="1"/>
      <c r="G858" s="1"/>
      <c r="H858" s="2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>
      <c r="A859" s="1"/>
      <c r="B859" s="1"/>
      <c r="C859" s="1"/>
      <c r="D859" s="1"/>
      <c r="E859" s="1"/>
      <c r="F859" s="1"/>
      <c r="G859" s="1"/>
      <c r="H859" s="2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>
      <c r="A860" s="1"/>
      <c r="B860" s="1"/>
      <c r="C860" s="1"/>
      <c r="D860" s="1"/>
      <c r="E860" s="1"/>
      <c r="F860" s="1"/>
      <c r="G860" s="1"/>
      <c r="H860" s="2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>
      <c r="A861" s="1"/>
      <c r="B861" s="1"/>
      <c r="C861" s="1"/>
      <c r="D861" s="1"/>
      <c r="E861" s="1"/>
      <c r="F861" s="1"/>
      <c r="G861" s="1"/>
      <c r="H861" s="2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>
      <c r="A862" s="1"/>
      <c r="B862" s="1"/>
      <c r="C862" s="1"/>
      <c r="D862" s="1"/>
      <c r="E862" s="1"/>
      <c r="F862" s="1"/>
      <c r="G862" s="1"/>
      <c r="H862" s="2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>
      <c r="A863" s="1"/>
      <c r="B863" s="1"/>
      <c r="C863" s="1"/>
      <c r="D863" s="1"/>
      <c r="E863" s="1"/>
      <c r="F863" s="1"/>
      <c r="G863" s="1"/>
      <c r="H863" s="2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>
      <c r="A864" s="1"/>
      <c r="B864" s="1"/>
      <c r="C864" s="1"/>
      <c r="D864" s="1"/>
      <c r="E864" s="1"/>
      <c r="F864" s="1"/>
      <c r="G864" s="1"/>
      <c r="H864" s="2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>
      <c r="A865" s="1"/>
      <c r="B865" s="1"/>
      <c r="C865" s="1"/>
      <c r="D865" s="1"/>
      <c r="E865" s="1"/>
      <c r="F865" s="1"/>
      <c r="G865" s="1"/>
      <c r="H865" s="2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>
      <c r="A866" s="1"/>
      <c r="B866" s="1"/>
      <c r="C866" s="1"/>
      <c r="D866" s="1"/>
      <c r="E866" s="1"/>
      <c r="F866" s="1"/>
      <c r="G866" s="1"/>
      <c r="H866" s="2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>
      <c r="A867" s="1"/>
      <c r="B867" s="1"/>
      <c r="C867" s="1"/>
      <c r="D867" s="1"/>
      <c r="E867" s="1"/>
      <c r="F867" s="1"/>
      <c r="G867" s="1"/>
      <c r="H867" s="2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>
      <c r="A868" s="1"/>
      <c r="B868" s="1"/>
      <c r="C868" s="1"/>
      <c r="D868" s="1"/>
      <c r="E868" s="1"/>
      <c r="F868" s="1"/>
      <c r="G868" s="1"/>
      <c r="H868" s="2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>
      <c r="A869" s="1"/>
      <c r="B869" s="1"/>
      <c r="C869" s="1"/>
      <c r="D869" s="1"/>
      <c r="E869" s="1"/>
      <c r="F869" s="1"/>
      <c r="G869" s="1"/>
      <c r="H869" s="2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>
      <c r="A870" s="1"/>
      <c r="B870" s="1"/>
      <c r="C870" s="1"/>
      <c r="D870" s="1"/>
      <c r="E870" s="1"/>
      <c r="F870" s="1"/>
      <c r="G870" s="1"/>
      <c r="H870" s="2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>
      <c r="A871" s="1"/>
      <c r="B871" s="1"/>
      <c r="C871" s="1"/>
      <c r="D871" s="1"/>
      <c r="E871" s="1"/>
      <c r="F871" s="1"/>
      <c r="G871" s="1"/>
      <c r="H871" s="2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>
      <c r="A872" s="1"/>
      <c r="B872" s="1"/>
      <c r="C872" s="1"/>
      <c r="D872" s="1"/>
      <c r="E872" s="1"/>
      <c r="F872" s="1"/>
      <c r="G872" s="1"/>
      <c r="H872" s="2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>
      <c r="A873" s="1"/>
      <c r="B873" s="1"/>
      <c r="C873" s="1"/>
      <c r="D873" s="1"/>
      <c r="E873" s="1"/>
      <c r="F873" s="1"/>
      <c r="G873" s="1"/>
      <c r="H873" s="2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>
      <c r="A874" s="1"/>
      <c r="B874" s="1"/>
      <c r="C874" s="1"/>
      <c r="D874" s="1"/>
      <c r="E874" s="1"/>
      <c r="F874" s="1"/>
      <c r="G874" s="1"/>
      <c r="H874" s="2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>
      <c r="A875" s="1"/>
      <c r="B875" s="1"/>
      <c r="C875" s="1"/>
      <c r="D875" s="1"/>
      <c r="E875" s="1"/>
      <c r="F875" s="1"/>
      <c r="G875" s="1"/>
      <c r="H875" s="2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>
      <c r="A876" s="1"/>
      <c r="B876" s="1"/>
      <c r="C876" s="1"/>
      <c r="D876" s="1"/>
      <c r="E876" s="1"/>
      <c r="F876" s="1"/>
      <c r="G876" s="1"/>
      <c r="H876" s="2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>
      <c r="A877" s="1"/>
      <c r="B877" s="1"/>
      <c r="C877" s="1"/>
      <c r="D877" s="1"/>
      <c r="E877" s="1"/>
      <c r="F877" s="1"/>
      <c r="G877" s="1"/>
      <c r="H877" s="2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>
      <c r="A878" s="1"/>
      <c r="B878" s="1"/>
      <c r="C878" s="1"/>
      <c r="D878" s="1"/>
      <c r="E878" s="1"/>
      <c r="F878" s="1"/>
      <c r="G878" s="1"/>
      <c r="H878" s="2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>
      <c r="A879" s="1"/>
      <c r="B879" s="1"/>
      <c r="C879" s="1"/>
      <c r="D879" s="1"/>
      <c r="E879" s="1"/>
      <c r="F879" s="1"/>
      <c r="G879" s="1"/>
      <c r="H879" s="2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>
      <c r="A880" s="1"/>
      <c r="B880" s="1"/>
      <c r="C880" s="1"/>
      <c r="D880" s="1"/>
      <c r="E880" s="1"/>
      <c r="F880" s="1"/>
      <c r="G880" s="1"/>
      <c r="H880" s="2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>
      <c r="A881" s="1"/>
      <c r="B881" s="1"/>
      <c r="C881" s="1"/>
      <c r="D881" s="1"/>
      <c r="E881" s="1"/>
      <c r="F881" s="1"/>
      <c r="G881" s="1"/>
      <c r="H881" s="2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>
      <c r="A882" s="1"/>
      <c r="B882" s="1"/>
      <c r="C882" s="1"/>
      <c r="D882" s="1"/>
      <c r="E882" s="1"/>
      <c r="F882" s="1"/>
      <c r="G882" s="1"/>
      <c r="H882" s="2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>
      <c r="A883" s="1"/>
      <c r="B883" s="1"/>
      <c r="C883" s="1"/>
      <c r="D883" s="1"/>
      <c r="E883" s="1"/>
      <c r="F883" s="1"/>
      <c r="G883" s="1"/>
      <c r="H883" s="2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>
      <c r="A884" s="1"/>
      <c r="B884" s="1"/>
      <c r="C884" s="1"/>
      <c r="D884" s="1"/>
      <c r="E884" s="1"/>
      <c r="F884" s="1"/>
      <c r="G884" s="1"/>
      <c r="H884" s="2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>
      <c r="A885" s="1"/>
      <c r="B885" s="1"/>
      <c r="C885" s="1"/>
      <c r="D885" s="1"/>
      <c r="E885" s="1"/>
      <c r="F885" s="1"/>
      <c r="G885" s="1"/>
      <c r="H885" s="2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>
      <c r="A886" s="1"/>
      <c r="B886" s="1"/>
      <c r="C886" s="1"/>
      <c r="D886" s="1"/>
      <c r="E886" s="1"/>
      <c r="F886" s="1"/>
      <c r="G886" s="1"/>
      <c r="H886" s="2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>
      <c r="A887" s="1"/>
      <c r="B887" s="1"/>
      <c r="C887" s="1"/>
      <c r="D887" s="1"/>
      <c r="E887" s="1"/>
      <c r="F887" s="1"/>
      <c r="G887" s="1"/>
      <c r="H887" s="2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>
      <c r="A888" s="1"/>
      <c r="B888" s="1"/>
      <c r="C888" s="1"/>
      <c r="D888" s="1"/>
      <c r="E888" s="1"/>
      <c r="F888" s="1"/>
      <c r="G888" s="1"/>
      <c r="H888" s="2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>
      <c r="A889" s="1"/>
      <c r="B889" s="1"/>
      <c r="C889" s="1"/>
      <c r="D889" s="1"/>
      <c r="E889" s="1"/>
      <c r="F889" s="1"/>
      <c r="G889" s="1"/>
      <c r="H889" s="2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>
      <c r="A890" s="1"/>
      <c r="B890" s="1"/>
      <c r="C890" s="1"/>
      <c r="D890" s="1"/>
      <c r="E890" s="1"/>
      <c r="F890" s="1"/>
      <c r="G890" s="1"/>
      <c r="H890" s="2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>
      <c r="A891" s="1"/>
      <c r="B891" s="1"/>
      <c r="C891" s="1"/>
      <c r="D891" s="1"/>
      <c r="E891" s="1"/>
      <c r="F891" s="1"/>
      <c r="G891" s="1"/>
      <c r="H891" s="2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>
      <c r="A892" s="1"/>
      <c r="B892" s="1"/>
      <c r="C892" s="1"/>
      <c r="D892" s="1"/>
      <c r="E892" s="1"/>
      <c r="F892" s="1"/>
      <c r="G892" s="1"/>
      <c r="H892" s="2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>
      <c r="A893" s="1"/>
      <c r="B893" s="1"/>
      <c r="C893" s="1"/>
      <c r="D893" s="1"/>
      <c r="E893" s="1"/>
      <c r="F893" s="1"/>
      <c r="G893" s="1"/>
      <c r="H893" s="2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>
      <c r="A894" s="1"/>
      <c r="B894" s="1"/>
      <c r="C894" s="1"/>
      <c r="D894" s="1"/>
      <c r="E894" s="1"/>
      <c r="F894" s="1"/>
      <c r="G894" s="1"/>
      <c r="H894" s="2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>
      <c r="A895" s="1"/>
      <c r="B895" s="1"/>
      <c r="C895" s="1"/>
      <c r="D895" s="1"/>
      <c r="E895" s="1"/>
      <c r="F895" s="1"/>
      <c r="G895" s="1"/>
      <c r="H895" s="2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>
      <c r="A896" s="1"/>
      <c r="B896" s="1"/>
      <c r="C896" s="1"/>
      <c r="D896" s="1"/>
      <c r="E896" s="1"/>
      <c r="F896" s="1"/>
      <c r="G896" s="1"/>
      <c r="H896" s="2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>
      <c r="A897" s="1"/>
      <c r="B897" s="1"/>
      <c r="C897" s="1"/>
      <c r="D897" s="1"/>
      <c r="E897" s="1"/>
      <c r="F897" s="1"/>
      <c r="G897" s="1"/>
      <c r="H897" s="2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>
      <c r="A898" s="1"/>
      <c r="B898" s="1"/>
      <c r="C898" s="1"/>
      <c r="D898" s="1"/>
      <c r="E898" s="1"/>
      <c r="F898" s="1"/>
      <c r="G898" s="1"/>
      <c r="H898" s="2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>
      <c r="A899" s="1"/>
      <c r="B899" s="1"/>
      <c r="C899" s="1"/>
      <c r="D899" s="1"/>
      <c r="E899" s="1"/>
      <c r="F899" s="1"/>
      <c r="G899" s="1"/>
      <c r="H899" s="2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>
      <c r="A900" s="1"/>
      <c r="B900" s="1"/>
      <c r="C900" s="1"/>
      <c r="D900" s="1"/>
      <c r="E900" s="1"/>
      <c r="F900" s="1"/>
      <c r="G900" s="1"/>
      <c r="H900" s="2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>
      <c r="A901" s="1"/>
      <c r="B901" s="1"/>
      <c r="C901" s="1"/>
      <c r="D901" s="1"/>
      <c r="E901" s="1"/>
      <c r="F901" s="1"/>
      <c r="G901" s="1"/>
      <c r="H901" s="2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>
      <c r="A902" s="1"/>
      <c r="B902" s="1"/>
      <c r="C902" s="1"/>
      <c r="D902" s="1"/>
      <c r="E902" s="1"/>
      <c r="F902" s="1"/>
      <c r="G902" s="1"/>
      <c r="H902" s="2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>
      <c r="A903" s="1"/>
      <c r="B903" s="1"/>
      <c r="C903" s="1"/>
      <c r="D903" s="1"/>
      <c r="E903" s="1"/>
      <c r="F903" s="1"/>
      <c r="G903" s="1"/>
      <c r="H903" s="2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>
      <c r="A904" s="1"/>
      <c r="B904" s="1"/>
      <c r="C904" s="1"/>
      <c r="D904" s="1"/>
      <c r="E904" s="1"/>
      <c r="F904" s="1"/>
      <c r="G904" s="1"/>
      <c r="H904" s="2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>
      <c r="A905" s="1"/>
      <c r="B905" s="1"/>
      <c r="C905" s="1"/>
      <c r="D905" s="1"/>
      <c r="E905" s="1"/>
      <c r="F905" s="1"/>
      <c r="G905" s="1"/>
      <c r="H905" s="2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>
      <c r="A906" s="1"/>
      <c r="B906" s="1"/>
      <c r="C906" s="1"/>
      <c r="D906" s="1"/>
      <c r="E906" s="1"/>
      <c r="F906" s="1"/>
      <c r="G906" s="1"/>
      <c r="H906" s="2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>
      <c r="A907" s="1"/>
      <c r="B907" s="1"/>
      <c r="C907" s="1"/>
      <c r="D907" s="1"/>
      <c r="E907" s="1"/>
      <c r="F907" s="1"/>
      <c r="G907" s="1"/>
      <c r="H907" s="2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>
      <c r="A908" s="1"/>
      <c r="B908" s="1"/>
      <c r="C908" s="1"/>
      <c r="D908" s="1"/>
      <c r="E908" s="1"/>
      <c r="F908" s="1"/>
      <c r="G908" s="1"/>
      <c r="H908" s="2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>
      <c r="A909" s="1"/>
      <c r="B909" s="1"/>
      <c r="C909" s="1"/>
      <c r="D909" s="1"/>
      <c r="E909" s="1"/>
      <c r="F909" s="1"/>
      <c r="G909" s="1"/>
      <c r="H909" s="2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>
      <c r="A910" s="1"/>
      <c r="B910" s="1"/>
      <c r="C910" s="1"/>
      <c r="D910" s="1"/>
      <c r="E910" s="1"/>
      <c r="F910" s="1"/>
      <c r="G910" s="1"/>
      <c r="H910" s="2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>
      <c r="A911" s="1"/>
      <c r="B911" s="1"/>
      <c r="C911" s="1"/>
      <c r="D911" s="1"/>
      <c r="E911" s="1"/>
      <c r="F911" s="1"/>
      <c r="G911" s="1"/>
      <c r="H911" s="2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>
      <c r="A912" s="1"/>
      <c r="B912" s="1"/>
      <c r="C912" s="1"/>
      <c r="D912" s="1"/>
      <c r="E912" s="1"/>
      <c r="F912" s="1"/>
      <c r="G912" s="1"/>
      <c r="H912" s="2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>
      <c r="A913" s="1"/>
      <c r="B913" s="1"/>
      <c r="C913" s="1"/>
      <c r="D913" s="1"/>
      <c r="E913" s="1"/>
      <c r="F913" s="1"/>
      <c r="G913" s="1"/>
      <c r="H913" s="2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>
      <c r="A914" s="1"/>
      <c r="B914" s="1"/>
      <c r="C914" s="1"/>
      <c r="D914" s="1"/>
      <c r="E914" s="1"/>
      <c r="F914" s="1"/>
      <c r="G914" s="1"/>
      <c r="H914" s="2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>
      <c r="A915" s="1"/>
      <c r="B915" s="1"/>
      <c r="C915" s="1"/>
      <c r="D915" s="1"/>
      <c r="E915" s="1"/>
      <c r="F915" s="1"/>
      <c r="G915" s="1"/>
      <c r="H915" s="2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>
      <c r="A916" s="1"/>
      <c r="B916" s="1"/>
      <c r="C916" s="1"/>
      <c r="D916" s="1"/>
      <c r="E916" s="1"/>
      <c r="F916" s="1"/>
      <c r="G916" s="1"/>
      <c r="H916" s="2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>
      <c r="A917" s="1"/>
      <c r="B917" s="1"/>
      <c r="C917" s="1"/>
      <c r="D917" s="1"/>
      <c r="E917" s="1"/>
      <c r="F917" s="1"/>
      <c r="G917" s="1"/>
      <c r="H917" s="2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>
      <c r="A918" s="1"/>
      <c r="B918" s="1"/>
      <c r="C918" s="1"/>
      <c r="D918" s="1"/>
      <c r="E918" s="1"/>
      <c r="F918" s="1"/>
      <c r="G918" s="1"/>
      <c r="H918" s="2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>
      <c r="A919" s="1"/>
      <c r="B919" s="1"/>
      <c r="C919" s="1"/>
      <c r="D919" s="1"/>
      <c r="E919" s="1"/>
      <c r="F919" s="1"/>
      <c r="G919" s="1"/>
      <c r="H919" s="2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>
      <c r="A920" s="1"/>
      <c r="B920" s="1"/>
      <c r="C920" s="1"/>
      <c r="D920" s="1"/>
      <c r="E920" s="1"/>
      <c r="F920" s="1"/>
      <c r="G920" s="1"/>
      <c r="H920" s="2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>
      <c r="A921" s="1"/>
      <c r="B921" s="1"/>
      <c r="C921" s="1"/>
      <c r="D921" s="1"/>
      <c r="E921" s="1"/>
      <c r="F921" s="1"/>
      <c r="G921" s="1"/>
      <c r="H921" s="2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>
      <c r="A922" s="1"/>
      <c r="B922" s="1"/>
      <c r="C922" s="1"/>
      <c r="D922" s="1"/>
      <c r="E922" s="1"/>
      <c r="F922" s="1"/>
      <c r="G922" s="1"/>
      <c r="H922" s="2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>
      <c r="A923" s="1"/>
      <c r="B923" s="1"/>
      <c r="C923" s="1"/>
      <c r="D923" s="1"/>
      <c r="E923" s="1"/>
      <c r="F923" s="1"/>
      <c r="G923" s="1"/>
      <c r="H923" s="2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>
      <c r="A924" s="1"/>
      <c r="B924" s="1"/>
      <c r="C924" s="1"/>
      <c r="D924" s="1"/>
      <c r="E924" s="1"/>
      <c r="F924" s="1"/>
      <c r="G924" s="1"/>
      <c r="H924" s="2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>
      <c r="A925" s="1"/>
      <c r="B925" s="1"/>
      <c r="C925" s="1"/>
      <c r="D925" s="1"/>
      <c r="E925" s="1"/>
      <c r="F925" s="1"/>
      <c r="G925" s="1"/>
      <c r="H925" s="2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>
      <c r="A926" s="1"/>
      <c r="B926" s="1"/>
      <c r="C926" s="1"/>
      <c r="D926" s="1"/>
      <c r="E926" s="1"/>
      <c r="F926" s="1"/>
      <c r="G926" s="1"/>
      <c r="H926" s="2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>
      <c r="A927" s="1"/>
      <c r="B927" s="1"/>
      <c r="C927" s="1"/>
      <c r="D927" s="1"/>
      <c r="E927" s="1"/>
      <c r="F927" s="1"/>
      <c r="G927" s="1"/>
      <c r="H927" s="2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>
      <c r="A928" s="1"/>
      <c r="B928" s="1"/>
      <c r="C928" s="1"/>
      <c r="D928" s="1"/>
      <c r="E928" s="1"/>
      <c r="F928" s="1"/>
      <c r="G928" s="1"/>
      <c r="H928" s="2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>
      <c r="A929" s="1"/>
      <c r="B929" s="1"/>
      <c r="C929" s="1"/>
      <c r="D929" s="1"/>
      <c r="E929" s="1"/>
      <c r="F929" s="1"/>
      <c r="G929" s="1"/>
      <c r="H929" s="2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>
      <c r="A930" s="1"/>
      <c r="B930" s="1"/>
      <c r="C930" s="1"/>
      <c r="D930" s="1"/>
      <c r="E930" s="1"/>
      <c r="F930" s="1"/>
      <c r="G930" s="1"/>
      <c r="H930" s="2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>
      <c r="A931" s="1"/>
      <c r="B931" s="1"/>
      <c r="C931" s="1"/>
      <c r="D931" s="1"/>
      <c r="E931" s="1"/>
      <c r="F931" s="1"/>
      <c r="G931" s="1"/>
      <c r="H931" s="2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>
      <c r="A932" s="1"/>
      <c r="B932" s="1"/>
      <c r="C932" s="1"/>
      <c r="D932" s="1"/>
      <c r="E932" s="1"/>
      <c r="F932" s="1"/>
      <c r="G932" s="1"/>
      <c r="H932" s="2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>
      <c r="A933" s="1"/>
      <c r="B933" s="1"/>
      <c r="C933" s="1"/>
      <c r="D933" s="1"/>
      <c r="E933" s="1"/>
      <c r="F933" s="1"/>
      <c r="G933" s="1"/>
      <c r="H933" s="2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>
      <c r="A934" s="1"/>
      <c r="B934" s="1"/>
      <c r="C934" s="1"/>
      <c r="D934" s="1"/>
      <c r="E934" s="1"/>
      <c r="F934" s="1"/>
      <c r="G934" s="1"/>
      <c r="H934" s="2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>
      <c r="A935" s="1"/>
      <c r="B935" s="1"/>
      <c r="C935" s="1"/>
      <c r="D935" s="1"/>
      <c r="E935" s="1"/>
      <c r="F935" s="1"/>
      <c r="G935" s="1"/>
      <c r="H935" s="2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>
      <c r="A936" s="1"/>
      <c r="B936" s="1"/>
      <c r="C936" s="1"/>
      <c r="D936" s="1"/>
      <c r="E936" s="1"/>
      <c r="F936" s="1"/>
      <c r="G936" s="1"/>
      <c r="H936" s="2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>
      <c r="A937" s="1"/>
      <c r="B937" s="1"/>
      <c r="C937" s="1"/>
      <c r="D937" s="1"/>
      <c r="E937" s="1"/>
      <c r="F937" s="1"/>
      <c r="G937" s="1"/>
      <c r="H937" s="2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>
      <c r="A938" s="1"/>
      <c r="B938" s="1"/>
      <c r="C938" s="1"/>
      <c r="D938" s="1"/>
      <c r="E938" s="1"/>
      <c r="F938" s="1"/>
      <c r="G938" s="1"/>
      <c r="H938" s="2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>
      <c r="A939" s="1"/>
      <c r="B939" s="1"/>
      <c r="C939" s="1"/>
      <c r="D939" s="1"/>
      <c r="E939" s="1"/>
      <c r="F939" s="1"/>
      <c r="G939" s="1"/>
      <c r="H939" s="2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>
      <c r="A940" s="1"/>
      <c r="B940" s="1"/>
      <c r="C940" s="1"/>
      <c r="D940" s="1"/>
      <c r="E940" s="1"/>
      <c r="F940" s="1"/>
      <c r="G940" s="1"/>
      <c r="H940" s="2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>
      <c r="A941" s="1"/>
      <c r="B941" s="1"/>
      <c r="C941" s="1"/>
      <c r="D941" s="1"/>
      <c r="E941" s="1"/>
      <c r="F941" s="1"/>
      <c r="G941" s="1"/>
      <c r="H941" s="2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>
      <c r="A942" s="1"/>
      <c r="B942" s="1"/>
      <c r="C942" s="1"/>
      <c r="D942" s="1"/>
      <c r="E942" s="1"/>
      <c r="F942" s="1"/>
      <c r="G942" s="1"/>
      <c r="H942" s="2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>
      <c r="A943" s="1"/>
      <c r="B943" s="1"/>
      <c r="C943" s="1"/>
      <c r="D943" s="1"/>
      <c r="E943" s="1"/>
      <c r="F943" s="1"/>
      <c r="G943" s="1"/>
      <c r="H943" s="2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>
      <c r="A944" s="1"/>
      <c r="B944" s="1"/>
      <c r="C944" s="1"/>
      <c r="D944" s="1"/>
      <c r="E944" s="1"/>
      <c r="F944" s="1"/>
      <c r="G944" s="1"/>
      <c r="H944" s="2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>
      <c r="A945" s="1"/>
      <c r="B945" s="1"/>
      <c r="C945" s="1"/>
      <c r="D945" s="1"/>
      <c r="E945" s="1"/>
      <c r="F945" s="1"/>
      <c r="G945" s="1"/>
      <c r="H945" s="2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>
      <c r="A946" s="1"/>
      <c r="B946" s="1"/>
      <c r="C946" s="1"/>
      <c r="D946" s="1"/>
      <c r="E946" s="1"/>
      <c r="F946" s="1"/>
      <c r="G946" s="1"/>
      <c r="H946" s="2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>
      <c r="A947" s="1"/>
      <c r="B947" s="1"/>
      <c r="C947" s="1"/>
      <c r="D947" s="1"/>
      <c r="E947" s="1"/>
      <c r="F947" s="1"/>
      <c r="G947" s="1"/>
      <c r="H947" s="2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>
      <c r="A948" s="1"/>
      <c r="B948" s="1"/>
      <c r="C948" s="1"/>
      <c r="D948" s="1"/>
      <c r="E948" s="1"/>
      <c r="F948" s="1"/>
      <c r="G948" s="1"/>
      <c r="H948" s="2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>
      <c r="A949" s="1"/>
      <c r="B949" s="1"/>
      <c r="C949" s="1"/>
      <c r="D949" s="1"/>
      <c r="E949" s="1"/>
      <c r="F949" s="1"/>
      <c r="G949" s="1"/>
      <c r="H949" s="2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>
      <c r="A950" s="1"/>
      <c r="B950" s="1"/>
      <c r="C950" s="1"/>
      <c r="D950" s="1"/>
      <c r="E950" s="1"/>
      <c r="F950" s="1"/>
      <c r="G950" s="1"/>
      <c r="H950" s="2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>
      <c r="A951" s="1"/>
      <c r="B951" s="1"/>
      <c r="C951" s="1"/>
      <c r="D951" s="1"/>
      <c r="E951" s="1"/>
      <c r="F951" s="1"/>
      <c r="G951" s="1"/>
      <c r="H951" s="2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>
      <c r="A952" s="1"/>
      <c r="B952" s="1"/>
      <c r="C952" s="1"/>
      <c r="D952" s="1"/>
      <c r="E952" s="1"/>
      <c r="F952" s="1"/>
      <c r="G952" s="1"/>
      <c r="H952" s="2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>
      <c r="A953" s="1"/>
      <c r="B953" s="1"/>
      <c r="C953" s="1"/>
      <c r="D953" s="1"/>
      <c r="E953" s="1"/>
      <c r="F953" s="1"/>
      <c r="G953" s="1"/>
      <c r="H953" s="2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>
      <c r="A954" s="1"/>
      <c r="B954" s="1"/>
      <c r="C954" s="1"/>
      <c r="D954" s="1"/>
      <c r="E954" s="1"/>
      <c r="F954" s="1"/>
      <c r="G954" s="1"/>
      <c r="H954" s="2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>
      <c r="A955" s="1"/>
      <c r="B955" s="1"/>
      <c r="C955" s="1"/>
      <c r="D955" s="1"/>
      <c r="E955" s="1"/>
      <c r="F955" s="1"/>
      <c r="G955" s="1"/>
      <c r="H955" s="2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>
      <c r="A956" s="1"/>
      <c r="B956" s="1"/>
      <c r="C956" s="1"/>
      <c r="D956" s="1"/>
      <c r="E956" s="1"/>
      <c r="F956" s="1"/>
      <c r="G956" s="1"/>
      <c r="H956" s="2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>
      <c r="A957" s="1"/>
      <c r="B957" s="1"/>
      <c r="C957" s="1"/>
      <c r="D957" s="1"/>
      <c r="E957" s="1"/>
      <c r="F957" s="1"/>
      <c r="G957" s="1"/>
      <c r="H957" s="2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>
      <c r="A958" s="1"/>
      <c r="B958" s="1"/>
      <c r="C958" s="1"/>
      <c r="D958" s="1"/>
      <c r="E958" s="1"/>
      <c r="F958" s="1"/>
      <c r="G958" s="1"/>
      <c r="H958" s="2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>
      <c r="A959" s="1"/>
      <c r="B959" s="1"/>
      <c r="C959" s="1"/>
      <c r="D959" s="1"/>
      <c r="E959" s="1"/>
      <c r="F959" s="1"/>
      <c r="G959" s="1"/>
      <c r="H959" s="2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>
      <c r="A960" s="1"/>
      <c r="B960" s="1"/>
      <c r="C960" s="1"/>
      <c r="D960" s="1"/>
      <c r="E960" s="1"/>
      <c r="F960" s="1"/>
      <c r="G960" s="1"/>
      <c r="H960" s="2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>
      <c r="A961" s="1"/>
      <c r="B961" s="1"/>
      <c r="C961" s="1"/>
      <c r="D961" s="1"/>
      <c r="E961" s="1"/>
      <c r="F961" s="1"/>
      <c r="G961" s="1"/>
      <c r="H961" s="2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>
      <c r="A962" s="1"/>
      <c r="B962" s="1"/>
      <c r="C962" s="1"/>
      <c r="D962" s="1"/>
      <c r="E962" s="1"/>
      <c r="F962" s="1"/>
      <c r="G962" s="1"/>
      <c r="H962" s="2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>
      <c r="A963" s="1"/>
      <c r="B963" s="1"/>
      <c r="C963" s="1"/>
      <c r="D963" s="1"/>
      <c r="E963" s="1"/>
      <c r="F963" s="1"/>
      <c r="G963" s="1"/>
      <c r="H963" s="2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>
      <c r="A964" s="1"/>
      <c r="B964" s="1"/>
      <c r="C964" s="1"/>
      <c r="D964" s="1"/>
      <c r="E964" s="1"/>
      <c r="F964" s="1"/>
      <c r="G964" s="1"/>
      <c r="H964" s="2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>
      <c r="A965" s="1"/>
      <c r="B965" s="1"/>
      <c r="C965" s="1"/>
      <c r="D965" s="1"/>
      <c r="E965" s="1"/>
      <c r="F965" s="1"/>
      <c r="G965" s="1"/>
      <c r="H965" s="2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>
      <c r="A966" s="1"/>
      <c r="B966" s="1"/>
      <c r="C966" s="1"/>
      <c r="D966" s="1"/>
      <c r="E966" s="1"/>
      <c r="F966" s="1"/>
      <c r="G966" s="1"/>
      <c r="H966" s="2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>
      <c r="A967" s="1"/>
      <c r="B967" s="1"/>
      <c r="C967" s="1"/>
      <c r="D967" s="1"/>
      <c r="E967" s="1"/>
      <c r="F967" s="1"/>
      <c r="G967" s="1"/>
      <c r="H967" s="2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>
      <c r="A968" s="1"/>
      <c r="B968" s="1"/>
      <c r="C968" s="1"/>
      <c r="D968" s="1"/>
      <c r="E968" s="1"/>
      <c r="F968" s="1"/>
      <c r="G968" s="1"/>
      <c r="H968" s="2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>
      <c r="A969" s="1"/>
      <c r="B969" s="1"/>
      <c r="C969" s="1"/>
      <c r="D969" s="1"/>
      <c r="E969" s="1"/>
      <c r="F969" s="1"/>
      <c r="G969" s="1"/>
      <c r="H969" s="2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>
      <c r="A970" s="1"/>
      <c r="B970" s="1"/>
      <c r="C970" s="1"/>
      <c r="D970" s="1"/>
      <c r="E970" s="1"/>
      <c r="F970" s="1"/>
      <c r="G970" s="1"/>
      <c r="H970" s="2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>
      <c r="A971" s="1"/>
      <c r="B971" s="1"/>
      <c r="C971" s="1"/>
      <c r="D971" s="1"/>
      <c r="E971" s="1"/>
      <c r="F971" s="1"/>
      <c r="G971" s="1"/>
      <c r="H971" s="2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>
      <c r="A972" s="1"/>
      <c r="B972" s="1"/>
      <c r="C972" s="1"/>
      <c r="D972" s="1"/>
      <c r="E972" s="1"/>
      <c r="F972" s="1"/>
      <c r="G972" s="1"/>
      <c r="H972" s="2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>
      <c r="A973" s="1"/>
      <c r="B973" s="1"/>
      <c r="C973" s="1"/>
      <c r="D973" s="1"/>
      <c r="E973" s="1"/>
      <c r="F973" s="1"/>
      <c r="G973" s="1"/>
      <c r="H973" s="2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>
      <c r="A974" s="1"/>
      <c r="B974" s="1"/>
      <c r="C974" s="1"/>
      <c r="D974" s="1"/>
      <c r="E974" s="1"/>
      <c r="F974" s="1"/>
      <c r="G974" s="1"/>
      <c r="H974" s="2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>
      <c r="A975" s="1"/>
      <c r="B975" s="1"/>
      <c r="C975" s="1"/>
      <c r="D975" s="1"/>
      <c r="E975" s="1"/>
      <c r="F975" s="1"/>
      <c r="G975" s="1"/>
      <c r="H975" s="2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>
      <c r="A976" s="1"/>
      <c r="B976" s="1"/>
      <c r="C976" s="1"/>
      <c r="D976" s="1"/>
      <c r="E976" s="1"/>
      <c r="F976" s="1"/>
      <c r="G976" s="1"/>
      <c r="H976" s="2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>
      <c r="A977" s="1"/>
      <c r="B977" s="1"/>
      <c r="C977" s="1"/>
      <c r="D977" s="1"/>
      <c r="E977" s="1"/>
      <c r="F977" s="1"/>
      <c r="G977" s="1"/>
      <c r="H977" s="2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>
      <c r="A978" s="1"/>
      <c r="B978" s="1"/>
      <c r="C978" s="1"/>
      <c r="D978" s="1"/>
      <c r="E978" s="1"/>
      <c r="F978" s="1"/>
      <c r="G978" s="1"/>
      <c r="H978" s="2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>
      <c r="A979" s="1"/>
      <c r="B979" s="1"/>
      <c r="C979" s="1"/>
      <c r="D979" s="1"/>
      <c r="E979" s="1"/>
      <c r="F979" s="1"/>
      <c r="G979" s="1"/>
      <c r="H979" s="2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>
      <c r="A980" s="1"/>
      <c r="B980" s="1"/>
      <c r="C980" s="1"/>
      <c r="D980" s="1"/>
      <c r="E980" s="1"/>
      <c r="F980" s="1"/>
      <c r="G980" s="1"/>
      <c r="H980" s="2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>
      <c r="A981" s="1"/>
      <c r="B981" s="1"/>
      <c r="C981" s="1"/>
      <c r="D981" s="1"/>
      <c r="E981" s="1"/>
      <c r="F981" s="1"/>
      <c r="G981" s="1"/>
      <c r="H981" s="2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>
      <c r="A982" s="1"/>
      <c r="B982" s="1"/>
      <c r="C982" s="1"/>
      <c r="D982" s="1"/>
      <c r="E982" s="1"/>
      <c r="F982" s="1"/>
      <c r="G982" s="1"/>
      <c r="H982" s="2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>
      <c r="A983" s="1"/>
      <c r="B983" s="1"/>
      <c r="C983" s="1"/>
      <c r="D983" s="1"/>
      <c r="E983" s="1"/>
      <c r="F983" s="1"/>
      <c r="G983" s="1"/>
      <c r="H983" s="2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>
      <c r="A984" s="1"/>
      <c r="B984" s="1"/>
      <c r="C984" s="1"/>
      <c r="D984" s="1"/>
      <c r="E984" s="1"/>
      <c r="F984" s="1"/>
      <c r="G984" s="1"/>
      <c r="H984" s="2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>
      <c r="A985" s="1"/>
      <c r="B985" s="1"/>
      <c r="C985" s="1"/>
      <c r="D985" s="1"/>
      <c r="E985" s="1"/>
      <c r="F985" s="1"/>
      <c r="G985" s="1"/>
      <c r="H985" s="2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>
      <c r="A986" s="1"/>
      <c r="B986" s="1"/>
      <c r="C986" s="1"/>
      <c r="D986" s="1"/>
      <c r="E986" s="1"/>
      <c r="F986" s="1"/>
      <c r="G986" s="1"/>
      <c r="H986" s="2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>
      <c r="A987" s="1"/>
      <c r="B987" s="1"/>
      <c r="C987" s="1"/>
      <c r="D987" s="1"/>
      <c r="E987" s="1"/>
      <c r="F987" s="1"/>
      <c r="G987" s="1"/>
      <c r="H987" s="2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>
      <c r="A988" s="1"/>
      <c r="B988" s="1"/>
      <c r="C988" s="1"/>
      <c r="D988" s="1"/>
      <c r="E988" s="1"/>
      <c r="F988" s="1"/>
      <c r="G988" s="1"/>
      <c r="H988" s="2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>
      <c r="A989" s="1"/>
      <c r="B989" s="1"/>
      <c r="C989" s="1"/>
      <c r="D989" s="1"/>
      <c r="E989" s="1"/>
      <c r="F989" s="1"/>
      <c r="G989" s="1"/>
      <c r="H989" s="2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>
      <c r="A990" s="1"/>
      <c r="B990" s="1"/>
      <c r="C990" s="1"/>
      <c r="D990" s="1"/>
      <c r="E990" s="1"/>
      <c r="F990" s="1"/>
      <c r="G990" s="1"/>
      <c r="H990" s="2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>
      <c r="A991" s="1"/>
      <c r="B991" s="1"/>
      <c r="C991" s="1"/>
      <c r="D991" s="1"/>
      <c r="E991" s="1"/>
      <c r="F991" s="1"/>
      <c r="G991" s="1"/>
      <c r="H991" s="2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>
      <c r="A992" s="1"/>
      <c r="B992" s="1"/>
      <c r="C992" s="1"/>
      <c r="D992" s="1"/>
      <c r="E992" s="1"/>
      <c r="F992" s="1"/>
      <c r="G992" s="1"/>
      <c r="H992" s="2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>
      <c r="A993" s="1"/>
      <c r="B993" s="1"/>
      <c r="C993" s="1"/>
      <c r="D993" s="1"/>
      <c r="E993" s="1"/>
      <c r="F993" s="1"/>
      <c r="G993" s="1"/>
      <c r="H993" s="2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>
      <c r="A994" s="1"/>
      <c r="B994" s="1"/>
      <c r="C994" s="1"/>
      <c r="D994" s="1"/>
      <c r="E994" s="1"/>
      <c r="F994" s="1"/>
      <c r="G994" s="1"/>
      <c r="H994" s="2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>
      <c r="A995" s="1"/>
      <c r="B995" s="1"/>
      <c r="C995" s="1"/>
      <c r="D995" s="1"/>
      <c r="E995" s="1"/>
      <c r="F995" s="1"/>
      <c r="G995" s="1"/>
      <c r="H995" s="2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>
      <c r="A996" s="1"/>
      <c r="B996" s="1"/>
      <c r="C996" s="1"/>
      <c r="D996" s="1"/>
      <c r="E996" s="1"/>
      <c r="F996" s="1"/>
      <c r="G996" s="1"/>
      <c r="H996" s="2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>
      <c r="A997" s="1"/>
      <c r="B997" s="1"/>
      <c r="C997" s="1"/>
      <c r="D997" s="1"/>
      <c r="E997" s="1"/>
      <c r="F997" s="1"/>
      <c r="G997" s="1"/>
      <c r="H997" s="2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</sheetData>
  <mergeCells count="17">
    <mergeCell ref="D44:H44"/>
    <mergeCell ref="D45:H45"/>
    <mergeCell ref="B43:C43"/>
    <mergeCell ref="B44:C44"/>
    <mergeCell ref="B45:C45"/>
    <mergeCell ref="C3:F3"/>
    <mergeCell ref="I3:J3"/>
    <mergeCell ref="C4:F4"/>
    <mergeCell ref="I4:J4"/>
    <mergeCell ref="D43:H43"/>
    <mergeCell ref="C7:G7"/>
    <mergeCell ref="C12:G12"/>
    <mergeCell ref="C17:G17"/>
    <mergeCell ref="C21:G21"/>
    <mergeCell ref="C25:G25"/>
    <mergeCell ref="C30:G30"/>
    <mergeCell ref="C35:G35"/>
  </mergeCells>
  <phoneticPr fontId="41" type="noConversion"/>
  <pageMargins left="0.7" right="0.7" top="0.75" bottom="0.75" header="0" footer="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994"/>
  <sheetViews>
    <sheetView workbookViewId="0"/>
  </sheetViews>
  <sheetFormatPr baseColWidth="10" defaultColWidth="12.6640625" defaultRowHeight="15" customHeight="1"/>
  <cols>
    <col min="1" max="3" width="10" customWidth="1"/>
    <col min="4" max="4" width="52.109375" customWidth="1"/>
    <col min="5" max="26" width="10" customWidth="1"/>
  </cols>
  <sheetData>
    <row r="1" spans="1:15" ht="12" customHeight="1">
      <c r="A1" s="24"/>
      <c r="B1" s="120" t="s">
        <v>130</v>
      </c>
      <c r="C1" s="110"/>
      <c r="D1" s="110"/>
      <c r="E1" s="24"/>
      <c r="F1" s="24"/>
      <c r="G1" s="25"/>
      <c r="H1" s="26"/>
      <c r="I1" s="26"/>
      <c r="J1" s="26"/>
      <c r="K1" s="26"/>
      <c r="L1" s="26"/>
      <c r="M1" s="26"/>
      <c r="N1" s="26"/>
      <c r="O1" s="24"/>
    </row>
    <row r="2" spans="1:15" ht="12" customHeight="1">
      <c r="A2" s="24"/>
      <c r="B2" s="24"/>
      <c r="C2" s="24"/>
      <c r="D2" s="24"/>
      <c r="E2" s="24"/>
      <c r="F2" s="24"/>
      <c r="G2" s="25"/>
      <c r="H2" s="26"/>
      <c r="I2" s="26"/>
      <c r="J2" s="26"/>
      <c r="K2" s="26"/>
      <c r="L2" s="26"/>
      <c r="M2" s="26"/>
      <c r="N2" s="26"/>
      <c r="O2" s="24"/>
    </row>
    <row r="3" spans="1:15" ht="12" customHeight="1">
      <c r="A3" s="24"/>
      <c r="B3" s="27" t="s">
        <v>32</v>
      </c>
      <c r="C3" s="121" t="s">
        <v>246</v>
      </c>
      <c r="D3" s="115"/>
      <c r="E3" s="28"/>
      <c r="F3" s="28"/>
      <c r="G3" s="29"/>
      <c r="H3" s="30"/>
      <c r="I3" s="30"/>
      <c r="J3" s="30"/>
      <c r="K3" s="30"/>
      <c r="L3" s="29" t="s">
        <v>33</v>
      </c>
      <c r="M3" s="31">
        <v>45693</v>
      </c>
      <c r="N3" s="32"/>
      <c r="O3" s="24"/>
    </row>
    <row r="4" spans="1:15" ht="12" customHeight="1">
      <c r="A4" s="24"/>
      <c r="B4" s="24"/>
      <c r="C4" s="24"/>
      <c r="D4" s="24"/>
      <c r="E4" s="24"/>
      <c r="F4" s="24"/>
      <c r="G4" s="25"/>
      <c r="H4" s="26"/>
      <c r="I4" s="26"/>
      <c r="J4" s="26"/>
      <c r="K4" s="26"/>
      <c r="L4" s="26"/>
      <c r="M4" s="26"/>
      <c r="N4" s="26"/>
      <c r="O4" s="24"/>
    </row>
    <row r="5" spans="1:15" ht="12" customHeight="1">
      <c r="A5" s="24"/>
      <c r="B5" s="33" t="s">
        <v>34</v>
      </c>
      <c r="C5" s="34" t="s">
        <v>5</v>
      </c>
      <c r="D5" s="34" t="s">
        <v>35</v>
      </c>
      <c r="E5" s="122" t="s">
        <v>36</v>
      </c>
      <c r="F5" s="123"/>
      <c r="G5" s="122" t="s">
        <v>37</v>
      </c>
      <c r="H5" s="108"/>
      <c r="I5" s="123"/>
      <c r="J5" s="122" t="s">
        <v>38</v>
      </c>
      <c r="K5" s="108"/>
      <c r="L5" s="108"/>
      <c r="M5" s="108"/>
      <c r="N5" s="123"/>
      <c r="O5" s="24"/>
    </row>
    <row r="6" spans="1:15" ht="12" customHeight="1">
      <c r="A6" s="35"/>
      <c r="B6" s="36"/>
      <c r="C6" s="37"/>
      <c r="D6" s="37"/>
      <c r="E6" s="38" t="s">
        <v>39</v>
      </c>
      <c r="F6" s="37" t="s">
        <v>40</v>
      </c>
      <c r="G6" s="39" t="s">
        <v>39</v>
      </c>
      <c r="H6" s="40" t="s">
        <v>40</v>
      </c>
      <c r="I6" s="41" t="s">
        <v>41</v>
      </c>
      <c r="J6" s="40" t="s">
        <v>39</v>
      </c>
      <c r="K6" s="40" t="s">
        <v>40</v>
      </c>
      <c r="L6" s="40" t="s">
        <v>41</v>
      </c>
      <c r="M6" s="40" t="s">
        <v>42</v>
      </c>
      <c r="N6" s="41" t="s">
        <v>43</v>
      </c>
      <c r="O6" s="35"/>
    </row>
    <row r="7" spans="1:15" ht="12" customHeight="1">
      <c r="A7" s="24"/>
      <c r="B7" s="118">
        <v>1</v>
      </c>
      <c r="C7" s="42">
        <f>'Tabla 6.6 CRT'!B7</f>
        <v>45660</v>
      </c>
      <c r="D7" s="280" t="str">
        <f>'Tabla 6.6 CRT'!$C$7</f>
        <v>Requisito 1.1</v>
      </c>
      <c r="E7" s="44">
        <f>E9+E11+E13+E15</f>
        <v>0.16666666666666669</v>
      </c>
      <c r="G7" s="45">
        <f>E7</f>
        <v>0.16666666666666669</v>
      </c>
      <c r="H7" s="46">
        <v>0.16666666666666666</v>
      </c>
      <c r="I7" s="46">
        <v>0.16666666666666666</v>
      </c>
      <c r="J7" s="45">
        <v>0.16666666666666666</v>
      </c>
      <c r="K7" s="46">
        <v>0.16666666666666666</v>
      </c>
      <c r="L7" s="46">
        <v>0.16666666666666666</v>
      </c>
      <c r="M7" s="47">
        <f>MAX(J7)*1.05</f>
        <v>0.17499999999999999</v>
      </c>
      <c r="N7" s="48">
        <f>MIN(J7)</f>
        <v>0.16666666666666666</v>
      </c>
      <c r="O7" s="24"/>
    </row>
    <row r="8" spans="1:15" ht="12" customHeight="1">
      <c r="A8" s="24"/>
      <c r="B8" s="119"/>
      <c r="C8" s="49" t="s">
        <v>44</v>
      </c>
      <c r="D8" s="117" t="str">
        <f>'Tabla 6.6 CRT'!$H$7</f>
        <v>Implementar la interfaz de carga de archivos.</v>
      </c>
      <c r="E8" s="115"/>
      <c r="F8" s="115"/>
      <c r="G8" s="115"/>
      <c r="H8" s="115"/>
      <c r="I8" s="115"/>
      <c r="J8" s="115"/>
      <c r="K8" s="115"/>
      <c r="L8" s="115"/>
      <c r="M8" s="115"/>
      <c r="N8" s="116"/>
      <c r="O8" s="24"/>
    </row>
    <row r="9" spans="1:15" ht="12" customHeight="1">
      <c r="A9" s="24"/>
      <c r="B9" s="118">
        <v>2</v>
      </c>
      <c r="C9" s="42">
        <f>'Tabla 6.6 CRT'!B8</f>
        <v>45660</v>
      </c>
      <c r="D9" s="43" t="s">
        <v>47</v>
      </c>
      <c r="E9" s="50">
        <v>8.3333333333333329E-2</v>
      </c>
      <c r="F9" s="43"/>
      <c r="G9" s="45">
        <f>'Tabla 6.6 CRT'!$F$8</f>
        <v>8.3333333333333329E-2</v>
      </c>
      <c r="H9" s="46">
        <f>G9</f>
        <v>8.3333333333333329E-2</v>
      </c>
      <c r="I9" s="46">
        <v>4.1666666666666664E-2</v>
      </c>
      <c r="J9" s="45">
        <v>0.10416666666666667</v>
      </c>
      <c r="K9" s="46">
        <v>6.25E-2</v>
      </c>
      <c r="L9" s="46">
        <v>4.1666666666666664E-2</v>
      </c>
      <c r="M9" s="47">
        <f>MAX(J9)*1.05</f>
        <v>0.10937500000000001</v>
      </c>
      <c r="N9" s="48">
        <f>MIN(J9)</f>
        <v>0.10416666666666667</v>
      </c>
      <c r="O9" s="24"/>
    </row>
    <row r="10" spans="1:15" ht="12" customHeight="1">
      <c r="A10" s="24"/>
      <c r="B10" s="119"/>
      <c r="C10" s="49" t="s">
        <v>44</v>
      </c>
      <c r="D10" s="117" t="str">
        <f>'Tabla 6.6 CRT'!H8</f>
        <v>Crear espacio para el ingreso de archivos.</v>
      </c>
      <c r="E10" s="115"/>
      <c r="F10" s="115"/>
      <c r="G10" s="115"/>
      <c r="H10" s="115"/>
      <c r="I10" s="115"/>
      <c r="J10" s="115"/>
      <c r="K10" s="115"/>
      <c r="L10" s="115"/>
      <c r="M10" s="115"/>
      <c r="N10" s="116"/>
      <c r="O10" s="24"/>
    </row>
    <row r="11" spans="1:15" ht="12" customHeight="1">
      <c r="A11" s="24"/>
      <c r="B11" s="118">
        <v>3</v>
      </c>
      <c r="C11" s="42">
        <f>'Tabla 6.6 CRT'!B9</f>
        <v>45660</v>
      </c>
      <c r="D11" s="43" t="s">
        <v>45</v>
      </c>
      <c r="E11" s="50">
        <v>4.1666666666666664E-2</v>
      </c>
      <c r="F11" s="43"/>
      <c r="G11" s="51">
        <f>'Tabla 6.6 CRT'!$F$9</f>
        <v>4.1666666666666664E-2</v>
      </c>
      <c r="H11" s="46">
        <v>4.1666666666666664E-2</v>
      </c>
      <c r="I11" s="46">
        <v>4.1666666666666664E-2</v>
      </c>
      <c r="J11" s="51">
        <v>8.3333333333333329E-2</v>
      </c>
      <c r="K11" s="46">
        <v>4.1666666666666664E-2</v>
      </c>
      <c r="L11" s="46">
        <v>4.1666666666666664E-2</v>
      </c>
      <c r="M11" s="47">
        <f>MAX(J11)*1.05</f>
        <v>8.7499999999999994E-2</v>
      </c>
      <c r="N11" s="48">
        <f>MIN(J11)</f>
        <v>8.3333333333333329E-2</v>
      </c>
      <c r="O11" s="52"/>
    </row>
    <row r="12" spans="1:15" ht="12" customHeight="1">
      <c r="A12" s="24"/>
      <c r="B12" s="119"/>
      <c r="C12" s="49" t="s">
        <v>44</v>
      </c>
      <c r="D12" s="117" t="str">
        <f>'Tabla 6.6 CRT'!H9</f>
        <v>Implementar un botón de carga de archivo.</v>
      </c>
      <c r="E12" s="115"/>
      <c r="F12" s="115"/>
      <c r="G12" s="115"/>
      <c r="H12" s="115"/>
      <c r="I12" s="115"/>
      <c r="J12" s="115"/>
      <c r="K12" s="115"/>
      <c r="L12" s="115"/>
      <c r="M12" s="115"/>
      <c r="N12" s="116"/>
      <c r="O12" s="52"/>
    </row>
    <row r="13" spans="1:15" ht="12" customHeight="1">
      <c r="A13" s="24"/>
      <c r="B13" s="118">
        <v>4</v>
      </c>
      <c r="C13" s="42">
        <f>'Tabla 6.6 CRT'!B10</f>
        <v>45660</v>
      </c>
      <c r="D13" s="43" t="s">
        <v>47</v>
      </c>
      <c r="E13" s="50">
        <v>2.0833333333333332E-2</v>
      </c>
      <c r="F13" s="43"/>
      <c r="G13" s="51">
        <f>'Tabla 6.6 CRT'!$F$10</f>
        <v>2.0833333333333332E-2</v>
      </c>
      <c r="H13" s="46">
        <v>2.0833333333333332E-2</v>
      </c>
      <c r="I13" s="46">
        <v>2.0833333333333332E-2</v>
      </c>
      <c r="J13" s="51">
        <v>4.1666666666666664E-2</v>
      </c>
      <c r="K13" s="46">
        <v>2.0833333333333332E-2</v>
      </c>
      <c r="L13" s="46">
        <v>2.0833333333333332E-2</v>
      </c>
      <c r="M13" s="47">
        <f>MAX(J13)*1.05</f>
        <v>4.3749999999999997E-2</v>
      </c>
      <c r="N13" s="48">
        <f>MIN(J13)</f>
        <v>4.1666666666666664E-2</v>
      </c>
      <c r="O13" s="52"/>
    </row>
    <row r="14" spans="1:15" ht="12" customHeight="1">
      <c r="A14" s="24"/>
      <c r="B14" s="119"/>
      <c r="C14" s="49" t="s">
        <v>44</v>
      </c>
      <c r="D14" s="117" t="str">
        <f>'Tabla 6.6 CRT'!H10</f>
        <v>Añadir validación para tipos de archivos permitidos.</v>
      </c>
      <c r="E14" s="115"/>
      <c r="F14" s="115"/>
      <c r="G14" s="115"/>
      <c r="H14" s="115"/>
      <c r="I14" s="115"/>
      <c r="J14" s="115"/>
      <c r="K14" s="115"/>
      <c r="L14" s="115"/>
      <c r="M14" s="115"/>
      <c r="N14" s="116"/>
      <c r="O14" s="52"/>
    </row>
    <row r="15" spans="1:15" ht="12" customHeight="1">
      <c r="A15" s="24"/>
      <c r="B15" s="118">
        <v>5</v>
      </c>
      <c r="C15" s="42">
        <f>'Tabla 6.6 CRT'!B12</f>
        <v>45661</v>
      </c>
      <c r="D15" s="43" t="s">
        <v>45</v>
      </c>
      <c r="E15" s="44">
        <v>2.0833333333333332E-2</v>
      </c>
      <c r="G15" s="51">
        <f>'Tabla 6.6 CRT'!$F$11</f>
        <v>2.0833333333333332E-2</v>
      </c>
      <c r="H15" s="47">
        <f>E15</f>
        <v>2.0833333333333332E-2</v>
      </c>
      <c r="I15" s="46">
        <f>E15</f>
        <v>2.0833333333333332E-2</v>
      </c>
      <c r="J15" s="51">
        <f>'Tabla 6.6 CRT'!$F$11</f>
        <v>2.0833333333333332E-2</v>
      </c>
      <c r="K15" s="47">
        <f>H15</f>
        <v>2.0833333333333332E-2</v>
      </c>
      <c r="L15" s="46">
        <f>H15</f>
        <v>2.0833333333333332E-2</v>
      </c>
      <c r="M15" s="47">
        <f>MAX(J15)*1.05</f>
        <v>2.1874999999999999E-2</v>
      </c>
      <c r="N15" s="48">
        <f>MIN(J15)</f>
        <v>2.0833333333333332E-2</v>
      </c>
      <c r="O15" s="52"/>
    </row>
    <row r="16" spans="1:15" ht="12" customHeight="1">
      <c r="A16" s="24"/>
      <c r="B16" s="119"/>
      <c r="C16" s="49" t="s">
        <v>44</v>
      </c>
      <c r="D16" s="117" t="str">
        <f>'Tabla 6.6 CRT'!$H$11</f>
        <v>Mostrar mensajes de confirmación al cargar archivos.</v>
      </c>
      <c r="E16" s="115"/>
      <c r="F16" s="115"/>
      <c r="G16" s="115"/>
      <c r="H16" s="115"/>
      <c r="I16" s="115"/>
      <c r="J16" s="115"/>
      <c r="K16" s="115"/>
      <c r="L16" s="115"/>
      <c r="M16" s="115"/>
      <c r="N16" s="116"/>
      <c r="O16" s="52"/>
    </row>
    <row r="17" spans="1:16" ht="12" customHeight="1">
      <c r="A17" s="24"/>
      <c r="B17" s="118">
        <v>6</v>
      </c>
      <c r="C17" s="42">
        <f>'Tabla 6.6 CRT'!B13</f>
        <v>45661</v>
      </c>
      <c r="D17" s="280" t="str">
        <f>'Tabla 6.6 CRT'!$C$12</f>
        <v>Requisito 1.2</v>
      </c>
      <c r="E17" s="50">
        <f>E19+E21+E23+P17</f>
        <v>0.22916666666666666</v>
      </c>
      <c r="F17" s="43"/>
      <c r="G17" s="51">
        <f>E17</f>
        <v>0.22916666666666666</v>
      </c>
      <c r="H17" s="46">
        <f>G17</f>
        <v>0.22916666666666666</v>
      </c>
      <c r="I17" s="46">
        <f>H17</f>
        <v>0.22916666666666666</v>
      </c>
      <c r="J17" s="51">
        <f>H17</f>
        <v>0.22916666666666666</v>
      </c>
      <c r="K17" s="46">
        <f>J17</f>
        <v>0.22916666666666666</v>
      </c>
      <c r="L17" s="46">
        <f>K17</f>
        <v>0.22916666666666666</v>
      </c>
      <c r="M17" s="47">
        <f>MAX(J17)*1.05</f>
        <v>0.24062500000000001</v>
      </c>
      <c r="N17" s="48">
        <f>MIN(J17)</f>
        <v>0.22916666666666666</v>
      </c>
      <c r="O17" s="52"/>
      <c r="P17" s="281">
        <v>2.0833333333333332E-2</v>
      </c>
    </row>
    <row r="18" spans="1:16" ht="12" customHeight="1">
      <c r="A18" s="24"/>
      <c r="B18" s="119"/>
      <c r="C18" s="49" t="s">
        <v>44</v>
      </c>
      <c r="D18" s="117" t="str">
        <f>'Tabla 6.6 CRT'!$H$12</f>
        <v>Procesar el contenido del archivo Excel.</v>
      </c>
      <c r="E18" s="115"/>
      <c r="F18" s="115"/>
      <c r="G18" s="115"/>
      <c r="H18" s="115"/>
      <c r="I18" s="115"/>
      <c r="J18" s="115"/>
      <c r="K18" s="115"/>
      <c r="L18" s="115"/>
      <c r="M18" s="115"/>
      <c r="N18" s="116"/>
      <c r="O18" s="52"/>
    </row>
    <row r="19" spans="1:16" ht="12" customHeight="1">
      <c r="A19" s="24"/>
      <c r="B19" s="118">
        <v>7</v>
      </c>
      <c r="C19" s="42">
        <f>'Tabla 6.6 CRT'!B14</f>
        <v>45661</v>
      </c>
      <c r="D19" s="43" t="s">
        <v>45</v>
      </c>
      <c r="E19" s="50">
        <v>8.3333333333333329E-2</v>
      </c>
      <c r="F19" s="43"/>
      <c r="G19" s="51">
        <f>'Tabla 6.6 CRT'!$F$13</f>
        <v>8.3333333333333329E-2</v>
      </c>
      <c r="H19" s="46">
        <f>G19</f>
        <v>8.3333333333333329E-2</v>
      </c>
      <c r="I19" s="46">
        <v>4.1666666666666664E-2</v>
      </c>
      <c r="J19" s="51">
        <v>0.10416666666666667</v>
      </c>
      <c r="K19" s="46">
        <v>6.25E-2</v>
      </c>
      <c r="L19" s="46">
        <v>4.1666666666666664E-2</v>
      </c>
      <c r="M19" s="47">
        <f>MAX(J19)*1.05</f>
        <v>0.10937500000000001</v>
      </c>
      <c r="N19" s="48">
        <f>MIN(J19)</f>
        <v>0.10416666666666667</v>
      </c>
      <c r="O19" s="52"/>
    </row>
    <row r="20" spans="1:16" ht="12" customHeight="1">
      <c r="A20" s="24"/>
      <c r="B20" s="119"/>
      <c r="C20" s="49" t="s">
        <v>44</v>
      </c>
      <c r="D20" s="117" t="str">
        <f>'Tabla 6.6 CRT'!$H$14</f>
        <v>Validar la estructura del archivo.</v>
      </c>
      <c r="E20" s="115"/>
      <c r="F20" s="115"/>
      <c r="G20" s="115"/>
      <c r="H20" s="115"/>
      <c r="I20" s="115"/>
      <c r="J20" s="115"/>
      <c r="K20" s="115"/>
      <c r="L20" s="115"/>
      <c r="M20" s="115"/>
      <c r="N20" s="116"/>
      <c r="O20" s="52"/>
    </row>
    <row r="21" spans="1:16" ht="12" customHeight="1">
      <c r="A21" s="24"/>
      <c r="B21" s="118">
        <v>8</v>
      </c>
      <c r="C21" s="42">
        <f>'Tabla 6.6 CRT'!B15</f>
        <v>45661</v>
      </c>
      <c r="D21" s="43" t="s">
        <v>45</v>
      </c>
      <c r="E21" s="50">
        <v>8.3333333333333329E-2</v>
      </c>
      <c r="F21" s="43"/>
      <c r="G21" s="51">
        <f>'Tabla 6.6 CRT'!$F$14</f>
        <v>8.3333333333333329E-2</v>
      </c>
      <c r="H21" s="46">
        <v>8.3333333333333329E-2</v>
      </c>
      <c r="I21" s="46">
        <v>4.1666666666666664E-2</v>
      </c>
      <c r="J21" s="51">
        <v>0.1111111111111111</v>
      </c>
      <c r="K21" s="46">
        <v>8.3333333333333329E-2</v>
      </c>
      <c r="L21" s="46">
        <v>4.1666666666666664E-2</v>
      </c>
      <c r="M21" s="47">
        <f>MAX(J21)*1.05</f>
        <v>0.11666666666666667</v>
      </c>
      <c r="N21" s="48">
        <f>MIN(J21)</f>
        <v>0.1111111111111111</v>
      </c>
      <c r="O21" s="52"/>
    </row>
    <row r="22" spans="1:16" ht="12" customHeight="1">
      <c r="A22" s="24"/>
      <c r="B22" s="119"/>
      <c r="C22" s="49" t="s">
        <v>44</v>
      </c>
      <c r="D22" s="117" t="str">
        <f>'Tabla 6.6 CRT'!H15</f>
        <v>Manejar errores en el formato del archivo.</v>
      </c>
      <c r="E22" s="115"/>
      <c r="F22" s="115"/>
      <c r="G22" s="115"/>
      <c r="H22" s="115"/>
      <c r="I22" s="115"/>
      <c r="J22" s="115"/>
      <c r="K22" s="115"/>
      <c r="L22" s="115"/>
      <c r="M22" s="115"/>
      <c r="N22" s="116"/>
      <c r="O22" s="52"/>
    </row>
    <row r="23" spans="1:16" ht="12" customHeight="1">
      <c r="A23" s="24"/>
      <c r="B23" s="118">
        <v>9</v>
      </c>
      <c r="C23" s="42">
        <f>'Tabla 6.6 CRT'!B17</f>
        <v>45662</v>
      </c>
      <c r="D23" s="43" t="s">
        <v>45</v>
      </c>
      <c r="E23" s="44">
        <v>4.1666666666666664E-2</v>
      </c>
      <c r="G23" s="51">
        <f>'Tabla 6.6 CRT'!$F$15</f>
        <v>4.1666666666666664E-2</v>
      </c>
      <c r="H23" s="46">
        <v>4.1666666666666664E-2</v>
      </c>
      <c r="I23" s="46">
        <v>4.1666666666666664E-2</v>
      </c>
      <c r="J23" s="51">
        <v>8.3333333333333329E-2</v>
      </c>
      <c r="K23" s="46">
        <v>4.1666666666666664E-2</v>
      </c>
      <c r="L23" s="46">
        <v>4.1666666666666664E-2</v>
      </c>
      <c r="M23" s="47">
        <f>MAX(J23)*1.05</f>
        <v>8.7499999999999994E-2</v>
      </c>
      <c r="N23" s="48">
        <f>MIN(J23)</f>
        <v>8.3333333333333329E-2</v>
      </c>
      <c r="O23" s="52"/>
    </row>
    <row r="24" spans="1:16" ht="12" customHeight="1">
      <c r="A24" s="24"/>
      <c r="B24" s="119"/>
      <c r="C24" s="49" t="s">
        <v>44</v>
      </c>
      <c r="D24" s="117" t="str">
        <f>'Tabla 6.6 CRT'!$H$16</f>
        <v>Guardar datos procesados en memoria o base de datos.</v>
      </c>
      <c r="E24" s="115"/>
      <c r="F24" s="115"/>
      <c r="G24" s="115"/>
      <c r="H24" s="115"/>
      <c r="I24" s="115"/>
      <c r="J24" s="115"/>
      <c r="K24" s="115"/>
      <c r="L24" s="115"/>
      <c r="M24" s="115"/>
      <c r="N24" s="116"/>
      <c r="O24" s="52"/>
    </row>
    <row r="25" spans="1:16" ht="12" customHeight="1">
      <c r="A25" s="24"/>
      <c r="B25" s="118">
        <v>10</v>
      </c>
      <c r="C25" s="42">
        <f>'Tabla 6.6 CRT'!B18</f>
        <v>45662</v>
      </c>
      <c r="D25" s="280" t="str">
        <f>'Tabla 6.6 CRT'!$C$17</f>
        <v>Requisito 2.1</v>
      </c>
      <c r="E25" s="50">
        <f>E27+E29+E31</f>
        <v>0.20833333333333331</v>
      </c>
      <c r="F25" s="43"/>
      <c r="G25" s="51">
        <f>E25</f>
        <v>0.20833333333333331</v>
      </c>
      <c r="H25" s="46">
        <v>0.20833333333333334</v>
      </c>
      <c r="I25" s="46">
        <v>0.20833333333333334</v>
      </c>
      <c r="J25" s="51">
        <f>H25</f>
        <v>0.20833333333333334</v>
      </c>
      <c r="K25" s="46">
        <v>0.20833333333333334</v>
      </c>
      <c r="L25" s="46">
        <v>0.20833333333333334</v>
      </c>
      <c r="M25" s="47">
        <f>MAX(J25)*1.05</f>
        <v>0.21875000000000003</v>
      </c>
      <c r="N25" s="48">
        <f>MIN(J25)</f>
        <v>0.20833333333333334</v>
      </c>
      <c r="O25" s="52"/>
    </row>
    <row r="26" spans="1:16" ht="12" customHeight="1">
      <c r="A26" s="24"/>
      <c r="B26" s="119"/>
      <c r="C26" s="49" t="s">
        <v>44</v>
      </c>
      <c r="D26" s="117" t="str">
        <f>'Tabla 6.6 CRT'!$H$17</f>
        <v>Validar rutas autorizadas.</v>
      </c>
      <c r="E26" s="115"/>
      <c r="F26" s="115"/>
      <c r="G26" s="115"/>
      <c r="H26" s="115"/>
      <c r="I26" s="115"/>
      <c r="J26" s="115"/>
      <c r="K26" s="115"/>
      <c r="L26" s="115"/>
      <c r="M26" s="115"/>
      <c r="N26" s="116"/>
      <c r="O26" s="52"/>
    </row>
    <row r="27" spans="1:16" ht="12" customHeight="1">
      <c r="A27" s="24"/>
      <c r="B27" s="118">
        <v>11</v>
      </c>
      <c r="C27" s="42">
        <f>'Tabla 6.6 CRT'!B19</f>
        <v>45662</v>
      </c>
      <c r="D27" s="43" t="s">
        <v>45</v>
      </c>
      <c r="E27" s="50">
        <v>0.125</v>
      </c>
      <c r="F27" s="43"/>
      <c r="G27" s="51">
        <f>'Tabla 6.6 CRT'!$F$18</f>
        <v>0.125</v>
      </c>
      <c r="H27" s="46">
        <v>0.125</v>
      </c>
      <c r="I27" s="46">
        <v>0.125</v>
      </c>
      <c r="J27" s="51">
        <v>0.14583333333333334</v>
      </c>
      <c r="K27" s="46">
        <v>0.125</v>
      </c>
      <c r="L27" s="46">
        <v>4.1666666666666664E-2</v>
      </c>
      <c r="M27" s="47">
        <f>MAX(J27)*1.05</f>
        <v>0.15312500000000001</v>
      </c>
      <c r="N27" s="48">
        <f>MIN(J27)</f>
        <v>0.14583333333333334</v>
      </c>
      <c r="O27" s="52"/>
    </row>
    <row r="28" spans="1:16" ht="12" customHeight="1">
      <c r="A28" s="24"/>
      <c r="B28" s="119"/>
      <c r="C28" s="49" t="s">
        <v>44</v>
      </c>
      <c r="D28" s="124" t="str">
        <f>'Tabla 6.6 CRT'!$H$18</f>
        <v>Crear lista de rutas permitidas.</v>
      </c>
      <c r="E28" s="115"/>
      <c r="F28" s="115"/>
      <c r="G28" s="115"/>
      <c r="H28" s="53"/>
      <c r="I28" s="53"/>
      <c r="J28" s="53"/>
      <c r="K28" s="53"/>
      <c r="L28" s="53"/>
      <c r="M28" s="53"/>
      <c r="N28" s="54"/>
      <c r="O28" s="52"/>
    </row>
    <row r="29" spans="1:16" ht="12" customHeight="1">
      <c r="A29" s="24"/>
      <c r="B29" s="118">
        <v>12</v>
      </c>
      <c r="C29" s="42">
        <f>'Tabla 6.6 CRT'!B22</f>
        <v>45668</v>
      </c>
      <c r="D29" s="43" t="s">
        <v>45</v>
      </c>
      <c r="E29" s="50">
        <v>4.1666666666666664E-2</v>
      </c>
      <c r="F29" s="43"/>
      <c r="G29" s="55">
        <f>'Tabla 6.6 CRT'!$F$19</f>
        <v>4.1666666666666664E-2</v>
      </c>
      <c r="H29" s="46">
        <v>4.1666666666666664E-2</v>
      </c>
      <c r="I29" s="46">
        <v>4.1666666666666664E-2</v>
      </c>
      <c r="J29" s="55">
        <v>8.3333333333333329E-2</v>
      </c>
      <c r="K29" s="46">
        <v>4.1666666666666664E-2</v>
      </c>
      <c r="L29" s="46">
        <v>4.1666666666666664E-2</v>
      </c>
      <c r="M29" s="47">
        <f>MAX(J29)*1.05</f>
        <v>8.7499999999999994E-2</v>
      </c>
      <c r="N29" s="48">
        <f>MIN(J29)</f>
        <v>8.3333333333333329E-2</v>
      </c>
      <c r="O29" s="52"/>
    </row>
    <row r="30" spans="1:16" ht="12" customHeight="1">
      <c r="A30" s="24"/>
      <c r="B30" s="119"/>
      <c r="C30" s="49" t="s">
        <v>44</v>
      </c>
      <c r="D30" s="117" t="str">
        <f>'Tabla 6.6 CRT'!$H$19</f>
        <v>Implementar lógica de validación de rutas.</v>
      </c>
      <c r="E30" s="115"/>
      <c r="F30" s="115"/>
      <c r="G30" s="115"/>
      <c r="H30" s="115"/>
      <c r="I30" s="115"/>
      <c r="J30" s="115"/>
      <c r="K30" s="115"/>
      <c r="L30" s="115"/>
      <c r="M30" s="115"/>
      <c r="N30" s="116"/>
      <c r="O30" s="52"/>
    </row>
    <row r="31" spans="1:16" ht="12" customHeight="1">
      <c r="A31" s="24"/>
      <c r="B31" s="118">
        <v>13</v>
      </c>
      <c r="C31" s="42">
        <f>'Tabla 6.6 CRT'!B24</f>
        <v>45668</v>
      </c>
      <c r="D31" s="43" t="s">
        <v>45</v>
      </c>
      <c r="E31" s="50">
        <v>4.1666666666666664E-2</v>
      </c>
      <c r="F31" s="43"/>
      <c r="G31" s="55">
        <f>'Tabla 6.6 CRT'!$F$20</f>
        <v>4.1666666666666664E-2</v>
      </c>
      <c r="H31" s="46">
        <v>4.1666666666666664E-2</v>
      </c>
      <c r="I31" s="46">
        <v>4.1666666666666664E-2</v>
      </c>
      <c r="J31" s="55">
        <f>'Tabla 6.6 CRT'!$F$20</f>
        <v>4.1666666666666664E-2</v>
      </c>
      <c r="K31" s="46">
        <v>4.1666666666666664E-2</v>
      </c>
      <c r="L31" s="46">
        <v>4.1666666666666664E-2</v>
      </c>
      <c r="M31" s="47">
        <f>MAX(J31)*1.05</f>
        <v>4.3749999999999997E-2</v>
      </c>
      <c r="N31" s="48">
        <f>MIN(J31)</f>
        <v>4.1666666666666664E-2</v>
      </c>
      <c r="O31" s="52"/>
    </row>
    <row r="32" spans="1:16" ht="12" customHeight="1">
      <c r="A32" s="24"/>
      <c r="B32" s="119"/>
      <c r="C32" s="49" t="s">
        <v>44</v>
      </c>
      <c r="D32" s="117" t="str">
        <f>'Tabla 6.6 CRT'!$H$20</f>
        <v>Manejar errores cuando una ruta no sea válida.</v>
      </c>
      <c r="E32" s="115"/>
      <c r="F32" s="115"/>
      <c r="G32" s="115"/>
      <c r="H32" s="115"/>
      <c r="I32" s="115"/>
      <c r="J32" s="115"/>
      <c r="K32" s="115"/>
      <c r="L32" s="115"/>
      <c r="M32" s="115"/>
      <c r="N32" s="116"/>
      <c r="O32" s="52"/>
    </row>
    <row r="33" spans="1:15" ht="12" customHeight="1">
      <c r="A33" s="24"/>
      <c r="B33" s="118">
        <v>14</v>
      </c>
      <c r="C33" s="42">
        <f>'Tabla 6.6 CRT'!B23</f>
        <v>45668</v>
      </c>
      <c r="D33" s="280" t="str">
        <f>'Tabla 6.6 CRT'!$C$21</f>
        <v>Requisito 2.2</v>
      </c>
      <c r="E33" s="50">
        <f>E35+E37+E39</f>
        <v>0.20833333333333331</v>
      </c>
      <c r="F33" s="43"/>
      <c r="G33" s="55">
        <f>E33</f>
        <v>0.20833333333333331</v>
      </c>
      <c r="H33" s="56">
        <v>0.20833333333333334</v>
      </c>
      <c r="I33" s="56">
        <v>0.20833333333333334</v>
      </c>
      <c r="J33" s="55">
        <f>H33</f>
        <v>0.20833333333333334</v>
      </c>
      <c r="K33" s="56">
        <v>0.20833333333333334</v>
      </c>
      <c r="L33" s="56">
        <v>0.20833333333333334</v>
      </c>
      <c r="M33" s="47">
        <f>MAX(J33)*1.05</f>
        <v>0.21875000000000003</v>
      </c>
      <c r="N33" s="48">
        <f>MIN(J33)</f>
        <v>0.20833333333333334</v>
      </c>
      <c r="O33" s="52"/>
    </row>
    <row r="34" spans="1:15" ht="12" customHeight="1">
      <c r="A34" s="24"/>
      <c r="B34" s="119"/>
      <c r="C34" s="49" t="s">
        <v>44</v>
      </c>
      <c r="D34" s="117" t="str">
        <f>'Tabla 6.6 CRT'!$H$21</f>
        <v>Implementar notificaciones de rutas inválidas.</v>
      </c>
      <c r="E34" s="115"/>
      <c r="F34" s="115"/>
      <c r="G34" s="115"/>
      <c r="H34" s="115"/>
      <c r="I34" s="115"/>
      <c r="J34" s="115"/>
      <c r="K34" s="115"/>
      <c r="L34" s="115"/>
      <c r="M34" s="115"/>
      <c r="N34" s="116"/>
      <c r="O34" s="52"/>
    </row>
    <row r="35" spans="1:15" ht="12" customHeight="1">
      <c r="A35" s="24"/>
      <c r="B35" s="118">
        <v>15</v>
      </c>
      <c r="C35" s="42">
        <f>'Tabla 6.6 CRT'!B25</f>
        <v>45669</v>
      </c>
      <c r="D35" s="43" t="s">
        <v>45</v>
      </c>
      <c r="E35" s="50">
        <v>8.3333333333333329E-2</v>
      </c>
      <c r="F35" s="43"/>
      <c r="G35" s="55">
        <f>'Tabla 6.6 CRT'!$F$22</f>
        <v>8.3333333333333329E-2</v>
      </c>
      <c r="H35" s="56">
        <v>8.3333333333333329E-2</v>
      </c>
      <c r="I35" s="57">
        <v>4.1666666666666664E-2</v>
      </c>
      <c r="J35" s="55">
        <f>'Tabla 6.6 CRT'!$F$22</f>
        <v>8.3333333333333329E-2</v>
      </c>
      <c r="K35" s="56">
        <v>8.3333333333333329E-2</v>
      </c>
      <c r="L35" s="57">
        <v>4.1666666666666664E-2</v>
      </c>
      <c r="M35" s="47">
        <f>MAX(J35)*1.05</f>
        <v>8.7499999999999994E-2</v>
      </c>
      <c r="N35" s="48">
        <f>MIN(J35)</f>
        <v>8.3333333333333329E-2</v>
      </c>
      <c r="O35" s="52"/>
    </row>
    <row r="36" spans="1:15" ht="12" customHeight="1">
      <c r="A36" s="24"/>
      <c r="B36" s="119"/>
      <c r="C36" s="49" t="s">
        <v>44</v>
      </c>
      <c r="D36" s="117" t="str">
        <f>'Tabla 6.6 CRT'!$H$22</f>
        <v>Detectar rutas no autorizadas.</v>
      </c>
      <c r="E36" s="115"/>
      <c r="F36" s="115"/>
      <c r="G36" s="115"/>
      <c r="H36" s="115"/>
      <c r="I36" s="115"/>
      <c r="J36" s="115"/>
      <c r="K36" s="115"/>
      <c r="L36" s="115"/>
      <c r="M36" s="115"/>
      <c r="N36" s="116"/>
      <c r="O36" s="52"/>
    </row>
    <row r="37" spans="1:15" ht="12" customHeight="1">
      <c r="A37" s="24"/>
      <c r="B37" s="118">
        <v>16</v>
      </c>
      <c r="C37" s="42">
        <f>'Tabla 6.6 CRT'!B26</f>
        <v>45669</v>
      </c>
      <c r="D37" s="43" t="s">
        <v>45</v>
      </c>
      <c r="E37" s="50">
        <v>8.3333333333333329E-2</v>
      </c>
      <c r="F37" s="43"/>
      <c r="G37" s="55">
        <f>'Tabla 6.6 CRT'!$F$23</f>
        <v>8.3333333333333329E-2</v>
      </c>
      <c r="H37" s="56">
        <v>8.3333333333333329E-2</v>
      </c>
      <c r="I37" s="57">
        <v>4.1666666666666664E-2</v>
      </c>
      <c r="J37" s="55">
        <f>'Tabla 6.6 CRT'!$F$23</f>
        <v>8.3333333333333329E-2</v>
      </c>
      <c r="K37" s="56">
        <v>8.3333333333333329E-2</v>
      </c>
      <c r="L37" s="57">
        <v>4.1666666666666664E-2</v>
      </c>
      <c r="M37" s="47">
        <f>MAX(J37)*1.05</f>
        <v>8.7499999999999994E-2</v>
      </c>
      <c r="N37" s="48">
        <f>MIN(J37)</f>
        <v>8.3333333333333329E-2</v>
      </c>
      <c r="O37" s="52"/>
    </row>
    <row r="38" spans="1:15" ht="12" customHeight="1">
      <c r="A38" s="24"/>
      <c r="B38" s="119"/>
      <c r="C38" s="49" t="s">
        <v>44</v>
      </c>
      <c r="D38" s="117" t="str">
        <f>'Tabla 6.6 CRT'!$H$23</f>
        <v>Mostrar alertas en la interfaz cuando se detecten rutas no válidas.</v>
      </c>
      <c r="E38" s="115"/>
      <c r="F38" s="115"/>
      <c r="G38" s="115"/>
      <c r="H38" s="115"/>
      <c r="I38" s="115"/>
      <c r="J38" s="115"/>
      <c r="K38" s="115"/>
      <c r="L38" s="115"/>
      <c r="M38" s="115"/>
      <c r="N38" s="116"/>
      <c r="O38" s="52"/>
    </row>
    <row r="39" spans="1:15" ht="12" customHeight="1">
      <c r="A39" s="24"/>
      <c r="B39" s="118">
        <v>17</v>
      </c>
      <c r="C39" s="42">
        <f>'Tabla 6.6 CRT'!B27</f>
        <v>45669</v>
      </c>
      <c r="D39" s="43" t="s">
        <v>45</v>
      </c>
      <c r="E39" s="50">
        <v>4.1666666666666664E-2</v>
      </c>
      <c r="F39" s="43"/>
      <c r="G39" s="55">
        <f>'Tabla 6.6 CRT'!$F$24</f>
        <v>4.1666666666666664E-2</v>
      </c>
      <c r="H39" s="46">
        <v>4.1666666666666664E-2</v>
      </c>
      <c r="I39" s="46">
        <v>4.1666666666666664E-2</v>
      </c>
      <c r="J39" s="55">
        <f>'Tabla 6.6 CRT'!$F$24</f>
        <v>4.1666666666666664E-2</v>
      </c>
      <c r="K39" s="46">
        <v>4.1666666666666664E-2</v>
      </c>
      <c r="L39" s="46">
        <v>4.1666666666666664E-2</v>
      </c>
      <c r="M39" s="47">
        <f>MAX(J39)*1.05</f>
        <v>4.3749999999999997E-2</v>
      </c>
      <c r="N39" s="48">
        <f>MIN(J39)</f>
        <v>4.1666666666666664E-2</v>
      </c>
      <c r="O39" s="52"/>
    </row>
    <row r="40" spans="1:15" ht="12" customHeight="1">
      <c r="A40" s="24"/>
      <c r="B40" s="119"/>
      <c r="C40" s="49" t="s">
        <v>44</v>
      </c>
      <c r="D40" s="117" t="str">
        <f>'Tabla 6.6 CRT'!$H$24</f>
        <v>Registrar intentos de acceso a rutas no autorizadas.</v>
      </c>
      <c r="E40" s="115"/>
      <c r="F40" s="115"/>
      <c r="G40" s="115"/>
      <c r="H40" s="115"/>
      <c r="I40" s="115"/>
      <c r="J40" s="115"/>
      <c r="K40" s="115"/>
      <c r="L40" s="115"/>
      <c r="M40" s="115"/>
      <c r="N40" s="116"/>
      <c r="O40" s="52"/>
    </row>
    <row r="41" spans="1:15" ht="12" customHeight="1">
      <c r="A41" s="24"/>
      <c r="B41" s="118">
        <v>18</v>
      </c>
      <c r="C41" s="42">
        <f>'Tabla 6.6 CRT'!B28</f>
        <v>45669</v>
      </c>
      <c r="D41" s="280" t="str">
        <f>'Tabla 6.6 CRT'!$C$25</f>
        <v>Requisito 3.1</v>
      </c>
      <c r="E41" s="50">
        <f>E43+E75+E77+E79</f>
        <v>0.22916666666666666</v>
      </c>
      <c r="F41" s="43"/>
      <c r="G41" s="55">
        <f>E41</f>
        <v>0.22916666666666666</v>
      </c>
      <c r="H41" s="56">
        <v>0.22916666666666666</v>
      </c>
      <c r="I41" s="56">
        <v>0.22916666666666666</v>
      </c>
      <c r="J41" s="55">
        <f>H41</f>
        <v>0.22916666666666666</v>
      </c>
      <c r="K41" s="56">
        <v>0.22916666666666666</v>
      </c>
      <c r="L41" s="56">
        <v>0.22916666666666666</v>
      </c>
      <c r="M41" s="47">
        <f>MAX(J41)*1.05</f>
        <v>0.24062500000000001</v>
      </c>
      <c r="N41" s="48">
        <f>MIN(J41)</f>
        <v>0.22916666666666666</v>
      </c>
      <c r="O41" s="52"/>
    </row>
    <row r="42" spans="1:15" ht="12" customHeight="1">
      <c r="A42" s="24"/>
      <c r="B42" s="119"/>
      <c r="C42" s="49" t="s">
        <v>44</v>
      </c>
      <c r="D42" s="117" t="str">
        <f>'Tabla 6.6 CRT'!$H$25</f>
        <v>Generar gráficos básicos.</v>
      </c>
      <c r="E42" s="115"/>
      <c r="F42" s="115"/>
      <c r="G42" s="115"/>
      <c r="H42" s="115"/>
      <c r="I42" s="115"/>
      <c r="J42" s="115"/>
      <c r="K42" s="115"/>
      <c r="L42" s="115"/>
      <c r="M42" s="115"/>
      <c r="N42" s="116"/>
      <c r="O42" s="52"/>
    </row>
    <row r="43" spans="1:15" ht="12" customHeight="1">
      <c r="A43" s="24"/>
      <c r="B43" s="118">
        <v>19</v>
      </c>
      <c r="C43" s="42">
        <f>'Tabla 6.6 CRT'!B29</f>
        <v>45669</v>
      </c>
      <c r="D43" s="43" t="s">
        <v>45</v>
      </c>
      <c r="E43" s="50">
        <v>6.25E-2</v>
      </c>
      <c r="F43" s="43"/>
      <c r="G43" s="55">
        <f>'Tabla 6.6 CRT'!$F$26</f>
        <v>6.25E-2</v>
      </c>
      <c r="H43" s="56">
        <v>6.25E-2</v>
      </c>
      <c r="I43" s="56">
        <v>6.25E-2</v>
      </c>
      <c r="J43" s="55">
        <f>'Tabla 6.6 CRT'!$F$26</f>
        <v>6.25E-2</v>
      </c>
      <c r="K43" s="56">
        <v>6.25E-2</v>
      </c>
      <c r="L43" s="46">
        <v>4.1666666666666664E-2</v>
      </c>
      <c r="M43" s="47">
        <f>MAX(J43)*1.05</f>
        <v>6.5625000000000003E-2</v>
      </c>
      <c r="N43" s="48">
        <f>MIN(J43)</f>
        <v>6.25E-2</v>
      </c>
      <c r="O43" s="52"/>
    </row>
    <row r="44" spans="1:15" ht="12" customHeight="1">
      <c r="A44" s="24"/>
      <c r="B44" s="119"/>
      <c r="C44" s="49" t="s">
        <v>44</v>
      </c>
      <c r="D44" s="117" t="str">
        <f>'Tabla 6.6 CRT'!$H$26</f>
        <v>Definir los tipos de gráficos a generar.</v>
      </c>
      <c r="E44" s="115"/>
      <c r="F44" s="115"/>
      <c r="G44" s="115"/>
      <c r="H44" s="115"/>
      <c r="I44" s="115"/>
      <c r="J44" s="115"/>
      <c r="K44" s="115"/>
      <c r="L44" s="115"/>
      <c r="M44" s="115"/>
      <c r="N44" s="116"/>
      <c r="O44" s="24"/>
    </row>
    <row r="45" spans="1:15" ht="12" hidden="1" customHeight="1">
      <c r="A45" s="24"/>
      <c r="B45" s="118">
        <v>20</v>
      </c>
      <c r="C45" s="42" t="e">
        <f>'Tabla 6.6 CRT'!#REF!</f>
        <v>#REF!</v>
      </c>
      <c r="D45" s="43"/>
      <c r="E45" s="58"/>
      <c r="F45" s="43"/>
      <c r="G45" s="59"/>
      <c r="H45" s="60"/>
      <c r="I45" s="60"/>
      <c r="J45" s="53"/>
      <c r="K45" s="53"/>
      <c r="L45" s="53"/>
      <c r="M45" s="53"/>
      <c r="N45" s="54"/>
      <c r="O45" s="24"/>
    </row>
    <row r="46" spans="1:15" ht="12" hidden="1" customHeight="1">
      <c r="A46" s="24"/>
      <c r="B46" s="119"/>
      <c r="C46" s="49" t="s">
        <v>44</v>
      </c>
      <c r="D46" s="117" t="e">
        <f>'Tabla 6.6 CRT'!#REF!</f>
        <v>#REF!</v>
      </c>
      <c r="E46" s="115"/>
      <c r="F46" s="115"/>
      <c r="G46" s="115"/>
      <c r="H46" s="115"/>
      <c r="I46" s="115"/>
      <c r="J46" s="115"/>
      <c r="K46" s="115"/>
      <c r="L46" s="115"/>
      <c r="M46" s="115"/>
      <c r="N46" s="116"/>
      <c r="O46" s="24"/>
    </row>
    <row r="47" spans="1:15" ht="12" hidden="1" customHeight="1">
      <c r="A47" s="24"/>
      <c r="B47" s="118">
        <v>21</v>
      </c>
      <c r="C47" s="42" t="e">
        <f>'Tabla 6.6 CRT'!#REF!</f>
        <v>#REF!</v>
      </c>
      <c r="D47" s="43"/>
      <c r="E47" s="58"/>
      <c r="F47" s="43"/>
      <c r="G47" s="59"/>
      <c r="H47" s="60"/>
      <c r="I47" s="60"/>
      <c r="J47" s="53"/>
      <c r="K47" s="53"/>
      <c r="L47" s="53"/>
      <c r="M47" s="53"/>
      <c r="N47" s="54"/>
      <c r="O47" s="24"/>
    </row>
    <row r="48" spans="1:15" ht="12" hidden="1" customHeight="1">
      <c r="A48" s="24"/>
      <c r="B48" s="119"/>
      <c r="C48" s="49" t="s">
        <v>44</v>
      </c>
      <c r="D48" s="117" t="e">
        <f>'Tabla 6.6 CRT'!#REF!</f>
        <v>#REF!</v>
      </c>
      <c r="E48" s="115"/>
      <c r="F48" s="115"/>
      <c r="G48" s="115"/>
      <c r="H48" s="115"/>
      <c r="I48" s="115"/>
      <c r="J48" s="115"/>
      <c r="K48" s="115"/>
      <c r="L48" s="115"/>
      <c r="M48" s="115"/>
      <c r="N48" s="116"/>
      <c r="O48" s="24"/>
    </row>
    <row r="49" spans="1:15" ht="12" hidden="1" customHeight="1">
      <c r="A49" s="24"/>
      <c r="B49" s="118">
        <v>22</v>
      </c>
      <c r="C49" s="42">
        <f>'Tabla 6.6 CRT'!B30</f>
        <v>45670</v>
      </c>
      <c r="D49" s="43"/>
      <c r="E49" s="58"/>
      <c r="F49" s="43"/>
      <c r="G49" s="59"/>
      <c r="H49" s="60"/>
      <c r="I49" s="60"/>
      <c r="J49" s="53"/>
      <c r="K49" s="53"/>
      <c r="L49" s="53"/>
      <c r="M49" s="53"/>
      <c r="N49" s="54"/>
      <c r="O49" s="24"/>
    </row>
    <row r="50" spans="1:15" ht="12" hidden="1" customHeight="1">
      <c r="A50" s="24"/>
      <c r="B50" s="119"/>
      <c r="C50" s="49" t="s">
        <v>44</v>
      </c>
      <c r="D50" s="117" t="e">
        <f>'Tabla 6.6 CRT'!#REF!</f>
        <v>#REF!</v>
      </c>
      <c r="E50" s="115"/>
      <c r="F50" s="115"/>
      <c r="G50" s="115"/>
      <c r="H50" s="115"/>
      <c r="I50" s="115"/>
      <c r="J50" s="115"/>
      <c r="K50" s="115"/>
      <c r="L50" s="115"/>
      <c r="M50" s="115"/>
      <c r="N50" s="116"/>
      <c r="O50" s="24"/>
    </row>
    <row r="51" spans="1:15" ht="12" hidden="1" customHeight="1">
      <c r="A51" s="24"/>
      <c r="B51" s="118">
        <v>23</v>
      </c>
      <c r="C51" s="42">
        <v>43244</v>
      </c>
      <c r="D51" s="43"/>
      <c r="E51" s="58"/>
      <c r="F51" s="43"/>
      <c r="G51" s="59"/>
      <c r="H51" s="60"/>
      <c r="I51" s="60"/>
      <c r="J51" s="53"/>
      <c r="K51" s="53"/>
      <c r="L51" s="53"/>
      <c r="M51" s="53"/>
      <c r="N51" s="54"/>
      <c r="O51" s="24"/>
    </row>
    <row r="52" spans="1:15" ht="12" hidden="1" customHeight="1">
      <c r="A52" s="24"/>
      <c r="B52" s="119"/>
      <c r="C52" s="49" t="s">
        <v>44</v>
      </c>
      <c r="D52" s="117" t="str">
        <f>'Tabla 6.6 CRT'!H30</f>
        <v>Exportar datos procesados a Excel.</v>
      </c>
      <c r="E52" s="115"/>
      <c r="F52" s="115"/>
      <c r="G52" s="115"/>
      <c r="H52" s="115"/>
      <c r="I52" s="115"/>
      <c r="J52" s="115"/>
      <c r="K52" s="115"/>
      <c r="L52" s="115"/>
      <c r="M52" s="115"/>
      <c r="N52" s="116"/>
      <c r="O52" s="24"/>
    </row>
    <row r="53" spans="1:15" ht="12" hidden="1" customHeight="1">
      <c r="A53" s="24"/>
      <c r="B53" s="118">
        <v>24</v>
      </c>
      <c r="C53" s="42">
        <v>43244</v>
      </c>
      <c r="D53" s="43"/>
      <c r="E53" s="58"/>
      <c r="F53" s="43"/>
      <c r="G53" s="59"/>
      <c r="H53" s="60"/>
      <c r="I53" s="60"/>
      <c r="J53" s="53"/>
      <c r="K53" s="53"/>
      <c r="L53" s="53"/>
      <c r="M53" s="53"/>
      <c r="N53" s="54"/>
      <c r="O53" s="24"/>
    </row>
    <row r="54" spans="1:15" ht="12" hidden="1" customHeight="1">
      <c r="A54" s="24"/>
      <c r="B54" s="119"/>
      <c r="C54" s="49" t="s">
        <v>44</v>
      </c>
      <c r="D54" s="117" t="e">
        <f>'Tabla 6.6 CRT'!#REF!</f>
        <v>#REF!</v>
      </c>
      <c r="E54" s="115"/>
      <c r="F54" s="115"/>
      <c r="G54" s="115"/>
      <c r="H54" s="115"/>
      <c r="I54" s="115"/>
      <c r="J54" s="115"/>
      <c r="K54" s="115"/>
      <c r="L54" s="115"/>
      <c r="M54" s="115"/>
      <c r="N54" s="116"/>
      <c r="O54" s="24"/>
    </row>
    <row r="55" spans="1:15" ht="12" hidden="1" customHeight="1">
      <c r="A55" s="24"/>
      <c r="B55" s="118">
        <v>25</v>
      </c>
      <c r="C55" s="42">
        <v>43244</v>
      </c>
      <c r="D55" s="43"/>
      <c r="E55" s="58"/>
      <c r="F55" s="43"/>
      <c r="G55" s="59"/>
      <c r="H55" s="60"/>
      <c r="I55" s="60"/>
      <c r="J55" s="53"/>
      <c r="K55" s="53"/>
      <c r="L55" s="53"/>
      <c r="M55" s="53"/>
      <c r="N55" s="54"/>
      <c r="O55" s="24"/>
    </row>
    <row r="56" spans="1:15" ht="12" hidden="1" customHeight="1">
      <c r="A56" s="24"/>
      <c r="B56" s="119"/>
      <c r="C56" s="49" t="s">
        <v>44</v>
      </c>
      <c r="D56" s="117" t="str">
        <f>'Tabla 6.6 CRT'!H31</f>
        <v>Crear función para exportar datos a formato Excel.</v>
      </c>
      <c r="E56" s="115"/>
      <c r="F56" s="115"/>
      <c r="G56" s="115"/>
      <c r="H56" s="115"/>
      <c r="I56" s="115"/>
      <c r="J56" s="115"/>
      <c r="K56" s="115"/>
      <c r="L56" s="115"/>
      <c r="M56" s="115"/>
      <c r="N56" s="116"/>
      <c r="O56" s="24"/>
    </row>
    <row r="57" spans="1:15" ht="12" hidden="1" customHeight="1">
      <c r="A57" s="24"/>
      <c r="B57" s="118">
        <v>26</v>
      </c>
      <c r="C57" s="42">
        <v>43245</v>
      </c>
      <c r="D57" s="43"/>
      <c r="E57" s="58"/>
      <c r="F57" s="43"/>
      <c r="G57" s="59"/>
      <c r="H57" s="60"/>
      <c r="I57" s="60"/>
      <c r="J57" s="53"/>
      <c r="K57" s="53"/>
      <c r="L57" s="53"/>
      <c r="M57" s="53"/>
      <c r="N57" s="54"/>
      <c r="O57" s="24"/>
    </row>
    <row r="58" spans="1:15" ht="12" hidden="1" customHeight="1">
      <c r="A58" s="24"/>
      <c r="B58" s="119"/>
      <c r="C58" s="49" t="s">
        <v>44</v>
      </c>
      <c r="D58" s="117" t="e">
        <f>'Tabla 6.6 CRT'!#REF!</f>
        <v>#REF!</v>
      </c>
      <c r="E58" s="115"/>
      <c r="F58" s="115"/>
      <c r="G58" s="115"/>
      <c r="H58" s="115"/>
      <c r="I58" s="115"/>
      <c r="J58" s="115"/>
      <c r="K58" s="115"/>
      <c r="L58" s="115"/>
      <c r="M58" s="115"/>
      <c r="N58" s="116"/>
      <c r="O58" s="24"/>
    </row>
    <row r="59" spans="1:15" ht="12" hidden="1" customHeight="1">
      <c r="A59" s="24"/>
      <c r="B59" s="118">
        <v>27</v>
      </c>
      <c r="C59" s="42">
        <v>43245</v>
      </c>
      <c r="D59" s="43"/>
      <c r="E59" s="58"/>
      <c r="F59" s="43"/>
      <c r="G59" s="59"/>
      <c r="H59" s="60"/>
      <c r="I59" s="60"/>
      <c r="J59" s="53"/>
      <c r="K59" s="53"/>
      <c r="L59" s="53"/>
      <c r="M59" s="53"/>
      <c r="N59" s="54"/>
      <c r="O59" s="24"/>
    </row>
    <row r="60" spans="1:15" ht="12" hidden="1" customHeight="1">
      <c r="A60" s="24"/>
      <c r="B60" s="119"/>
      <c r="C60" s="49" t="s">
        <v>44</v>
      </c>
      <c r="D60" s="117" t="str">
        <f>'Tabla 6.6 CRT'!H32</f>
        <v>Validar que los datos sean exportados correctamente.</v>
      </c>
      <c r="E60" s="115"/>
      <c r="F60" s="115"/>
      <c r="G60" s="115"/>
      <c r="H60" s="115"/>
      <c r="I60" s="115"/>
      <c r="J60" s="115"/>
      <c r="K60" s="115"/>
      <c r="L60" s="115"/>
      <c r="M60" s="115"/>
      <c r="N60" s="116"/>
      <c r="O60" s="24"/>
    </row>
    <row r="61" spans="1:15" ht="12" hidden="1" customHeight="1">
      <c r="A61" s="24"/>
      <c r="B61" s="118">
        <v>28</v>
      </c>
      <c r="C61" s="42">
        <v>43245</v>
      </c>
      <c r="D61" s="43"/>
      <c r="E61" s="58"/>
      <c r="F61" s="43"/>
      <c r="G61" s="59"/>
      <c r="H61" s="60"/>
      <c r="I61" s="60"/>
      <c r="J61" s="53"/>
      <c r="K61" s="53"/>
      <c r="L61" s="53"/>
      <c r="M61" s="53"/>
      <c r="N61" s="54"/>
      <c r="O61" s="24"/>
    </row>
    <row r="62" spans="1:15" ht="12" hidden="1" customHeight="1">
      <c r="A62" s="24"/>
      <c r="B62" s="119"/>
      <c r="C62" s="49" t="s">
        <v>44</v>
      </c>
      <c r="D62" s="117" t="str">
        <f>'Tabla 6.6 CRT'!H33</f>
        <v>Añadir opción de descarga en la interfaz.</v>
      </c>
      <c r="E62" s="115"/>
      <c r="F62" s="115"/>
      <c r="G62" s="115"/>
      <c r="H62" s="115"/>
      <c r="I62" s="115"/>
      <c r="J62" s="115"/>
      <c r="K62" s="115"/>
      <c r="L62" s="115"/>
      <c r="M62" s="115"/>
      <c r="N62" s="116"/>
      <c r="O62" s="24"/>
    </row>
    <row r="63" spans="1:15" ht="12" hidden="1" customHeight="1">
      <c r="A63" s="24"/>
      <c r="B63" s="118">
        <v>29</v>
      </c>
      <c r="C63" s="42">
        <v>43245</v>
      </c>
      <c r="D63" s="43"/>
      <c r="E63" s="58"/>
      <c r="F63" s="43"/>
      <c r="G63" s="59"/>
      <c r="H63" s="60"/>
      <c r="I63" s="60"/>
      <c r="J63" s="53"/>
      <c r="K63" s="53"/>
      <c r="L63" s="53"/>
      <c r="M63" s="53"/>
      <c r="N63" s="54"/>
      <c r="O63" s="24"/>
    </row>
    <row r="64" spans="1:15" ht="12" hidden="1" customHeight="1">
      <c r="A64" s="24"/>
      <c r="B64" s="119"/>
      <c r="C64" s="49" t="s">
        <v>44</v>
      </c>
      <c r="D64" s="117" t="str">
        <f>'Tabla 6.6 CRT'!H34</f>
        <v>Mostrar confirmación de exportación exitosa.</v>
      </c>
      <c r="E64" s="115"/>
      <c r="F64" s="115"/>
      <c r="G64" s="115"/>
      <c r="H64" s="115"/>
      <c r="I64" s="115"/>
      <c r="J64" s="115"/>
      <c r="K64" s="115"/>
      <c r="L64" s="115"/>
      <c r="M64" s="115"/>
      <c r="N64" s="116"/>
      <c r="O64" s="24"/>
    </row>
    <row r="65" spans="1:15" ht="12" hidden="1" customHeight="1">
      <c r="A65" s="24"/>
      <c r="B65" s="118">
        <v>30</v>
      </c>
      <c r="C65" s="42">
        <v>43245</v>
      </c>
      <c r="D65" s="43"/>
      <c r="E65" s="58"/>
      <c r="F65" s="43"/>
      <c r="G65" s="59"/>
      <c r="H65" s="60"/>
      <c r="I65" s="60"/>
      <c r="J65" s="53"/>
      <c r="K65" s="53"/>
      <c r="L65" s="53"/>
      <c r="M65" s="53"/>
      <c r="N65" s="54"/>
      <c r="O65" s="24"/>
    </row>
    <row r="66" spans="1:15" ht="12" hidden="1" customHeight="1">
      <c r="A66" s="24"/>
      <c r="B66" s="119"/>
      <c r="C66" s="49" t="s">
        <v>44</v>
      </c>
      <c r="D66" s="117" t="str">
        <f>'Tabla 6.6 CRT'!H35</f>
        <v>Mostrar notificaciones de error específicas para mejorar la experiencia del usuario.</v>
      </c>
      <c r="E66" s="115"/>
      <c r="F66" s="115"/>
      <c r="G66" s="115"/>
      <c r="H66" s="115"/>
      <c r="I66" s="115"/>
      <c r="J66" s="115"/>
      <c r="K66" s="115"/>
      <c r="L66" s="115"/>
      <c r="M66" s="115"/>
      <c r="N66" s="116"/>
      <c r="O66" s="24"/>
    </row>
    <row r="67" spans="1:15" ht="12" hidden="1" customHeight="1">
      <c r="A67" s="24"/>
      <c r="B67" s="118">
        <v>31</v>
      </c>
      <c r="C67" s="42">
        <v>43245</v>
      </c>
      <c r="D67" s="43"/>
      <c r="E67" s="58"/>
      <c r="F67" s="43"/>
      <c r="G67" s="59"/>
      <c r="H67" s="60"/>
      <c r="I67" s="60"/>
      <c r="J67" s="53"/>
      <c r="K67" s="53"/>
      <c r="L67" s="53"/>
      <c r="M67" s="53"/>
      <c r="N67" s="54"/>
      <c r="O67" s="24"/>
    </row>
    <row r="68" spans="1:15" ht="12" hidden="1" customHeight="1">
      <c r="A68" s="24"/>
      <c r="B68" s="119"/>
      <c r="C68" s="49" t="s">
        <v>44</v>
      </c>
      <c r="D68" s="117" t="str">
        <f>'Tabla 6.6 CRT'!H36</f>
        <v>Definir los tipos de errores comunes en la aplicación.</v>
      </c>
      <c r="E68" s="115"/>
      <c r="F68" s="115"/>
      <c r="G68" s="115"/>
      <c r="H68" s="115"/>
      <c r="I68" s="115"/>
      <c r="J68" s="115"/>
      <c r="K68" s="115"/>
      <c r="L68" s="115"/>
      <c r="M68" s="115"/>
      <c r="N68" s="116"/>
      <c r="O68" s="24"/>
    </row>
    <row r="69" spans="1:15" ht="12" hidden="1" customHeight="1">
      <c r="A69" s="24"/>
      <c r="B69" s="118">
        <v>32</v>
      </c>
      <c r="C69" s="42">
        <v>43245</v>
      </c>
      <c r="D69" s="43"/>
      <c r="E69" s="58"/>
      <c r="F69" s="43"/>
      <c r="G69" s="59"/>
      <c r="H69" s="60"/>
      <c r="I69" s="60"/>
      <c r="J69" s="53"/>
      <c r="K69" s="53"/>
      <c r="L69" s="53"/>
      <c r="M69" s="53"/>
      <c r="N69" s="54"/>
      <c r="O69" s="24"/>
    </row>
    <row r="70" spans="1:15" ht="12" hidden="1" customHeight="1">
      <c r="A70" s="24"/>
      <c r="B70" s="119"/>
      <c r="C70" s="49" t="s">
        <v>44</v>
      </c>
      <c r="D70" s="117" t="str">
        <f>'Tabla 6.6 CRT'!H37</f>
        <v>Implementar sistema de notificaciones en la interfaz.</v>
      </c>
      <c r="E70" s="115"/>
      <c r="F70" s="115"/>
      <c r="G70" s="115"/>
      <c r="H70" s="115"/>
      <c r="I70" s="115"/>
      <c r="J70" s="115"/>
      <c r="K70" s="115"/>
      <c r="L70" s="115"/>
      <c r="M70" s="115"/>
      <c r="N70" s="116"/>
      <c r="O70" s="24"/>
    </row>
    <row r="71" spans="1:15" ht="12" hidden="1" customHeight="1">
      <c r="A71" s="24"/>
      <c r="B71" s="118">
        <v>33</v>
      </c>
      <c r="C71" s="42">
        <v>43245</v>
      </c>
      <c r="D71" s="43"/>
      <c r="E71" s="58"/>
      <c r="F71" s="43"/>
      <c r="G71" s="59"/>
      <c r="H71" s="60"/>
      <c r="I71" s="60"/>
      <c r="J71" s="53"/>
      <c r="K71" s="53"/>
      <c r="L71" s="53"/>
      <c r="M71" s="53"/>
      <c r="N71" s="54"/>
      <c r="O71" s="24"/>
    </row>
    <row r="72" spans="1:15" ht="12" hidden="1" customHeight="1">
      <c r="A72" s="24"/>
      <c r="B72" s="119"/>
      <c r="C72" s="49" t="s">
        <v>44</v>
      </c>
      <c r="D72" s="117" t="str">
        <f>'Tabla 6.6 CRT'!H38</f>
        <v>Asociar cada error a un mensaje descriptivo.</v>
      </c>
      <c r="E72" s="115"/>
      <c r="F72" s="115"/>
      <c r="G72" s="115"/>
      <c r="H72" s="115"/>
      <c r="I72" s="115"/>
      <c r="J72" s="115"/>
      <c r="K72" s="115"/>
      <c r="L72" s="115"/>
      <c r="M72" s="115"/>
      <c r="N72" s="116"/>
      <c r="O72" s="24"/>
    </row>
    <row r="73" spans="1:15" ht="12" hidden="1" customHeight="1">
      <c r="A73" s="24"/>
      <c r="B73" s="118">
        <v>34</v>
      </c>
      <c r="C73" s="42">
        <v>43245</v>
      </c>
      <c r="D73" s="43"/>
      <c r="E73" s="58"/>
      <c r="F73" s="43"/>
      <c r="G73" s="59"/>
      <c r="H73" s="60"/>
      <c r="I73" s="60"/>
      <c r="J73" s="53"/>
      <c r="K73" s="53"/>
      <c r="L73" s="53"/>
      <c r="M73" s="53"/>
      <c r="N73" s="54"/>
      <c r="O73" s="24"/>
    </row>
    <row r="74" spans="1:15" ht="12" hidden="1" customHeight="1">
      <c r="A74" s="24"/>
      <c r="B74" s="119"/>
      <c r="C74" s="49" t="s">
        <v>44</v>
      </c>
      <c r="D74" s="117" t="str">
        <f>'Tabla 6.6 CRT'!H39</f>
        <v>Probar y ajustar notificaciones según la experiencia del usuario.</v>
      </c>
      <c r="E74" s="115"/>
      <c r="F74" s="115"/>
      <c r="G74" s="115"/>
      <c r="H74" s="115"/>
      <c r="I74" s="115"/>
      <c r="J74" s="115"/>
      <c r="K74" s="115"/>
      <c r="L74" s="115"/>
      <c r="M74" s="115"/>
      <c r="N74" s="116"/>
      <c r="O74" s="24"/>
    </row>
    <row r="75" spans="1:15" ht="12" customHeight="1">
      <c r="A75" s="24"/>
      <c r="B75" s="118">
        <v>35</v>
      </c>
      <c r="C75" s="42">
        <f>'Tabla 6.6 CRT'!$B$29</f>
        <v>45669</v>
      </c>
      <c r="D75" s="43" t="s">
        <v>45</v>
      </c>
      <c r="E75" s="50">
        <v>6.25E-2</v>
      </c>
      <c r="F75" s="43"/>
      <c r="G75" s="55">
        <f>'Tabla 6.6 CRT'!$F$27</f>
        <v>6.25E-2</v>
      </c>
      <c r="H75" s="56">
        <v>6.25E-2</v>
      </c>
      <c r="I75" s="56">
        <v>6.25E-2</v>
      </c>
      <c r="J75" s="55">
        <f>'Tabla 6.6 CRT'!$F$27</f>
        <v>6.25E-2</v>
      </c>
      <c r="K75" s="56">
        <v>6.25E-2</v>
      </c>
      <c r="L75" s="46">
        <v>4.1666666666666664E-2</v>
      </c>
      <c r="M75" s="47">
        <f>MAX(J75)*1.05</f>
        <v>6.5625000000000003E-2</v>
      </c>
      <c r="N75" s="48">
        <f>MIN(J75)</f>
        <v>6.25E-2</v>
      </c>
      <c r="O75" s="24"/>
    </row>
    <row r="76" spans="1:15" ht="12" customHeight="1">
      <c r="A76" s="24"/>
      <c r="B76" s="119"/>
      <c r="C76" s="49" t="s">
        <v>44</v>
      </c>
      <c r="D76" s="117" t="str">
        <f>'Tabla 6.6 CRT'!$H$27</f>
        <v>Implementar librería de visualización de datos.</v>
      </c>
      <c r="E76" s="115"/>
      <c r="F76" s="115"/>
      <c r="G76" s="115"/>
      <c r="H76" s="115"/>
      <c r="I76" s="115"/>
      <c r="J76" s="115"/>
      <c r="K76" s="115"/>
      <c r="L76" s="115"/>
      <c r="M76" s="115"/>
      <c r="N76" s="116"/>
      <c r="O76" s="24"/>
    </row>
    <row r="77" spans="1:15" ht="12" customHeight="1">
      <c r="A77" s="24"/>
      <c r="B77" s="118">
        <v>36</v>
      </c>
      <c r="C77" s="42">
        <f>'Tabla 6.6 CRT'!$B$29</f>
        <v>45669</v>
      </c>
      <c r="D77" s="43" t="s">
        <v>45</v>
      </c>
      <c r="E77" s="50">
        <v>6.25E-2</v>
      </c>
      <c r="F77" s="43"/>
      <c r="G77" s="55">
        <f>'Tabla 6.6 CRT'!$F$28</f>
        <v>6.25E-2</v>
      </c>
      <c r="H77" s="56">
        <v>6.25E-2</v>
      </c>
      <c r="I77" s="56">
        <v>6.25E-2</v>
      </c>
      <c r="J77" s="55">
        <f>'Tabla 6.6 CRT'!$F$28</f>
        <v>6.25E-2</v>
      </c>
      <c r="K77" s="56">
        <v>6.25E-2</v>
      </c>
      <c r="L77" s="46">
        <v>4.1666666666666664E-2</v>
      </c>
      <c r="M77" s="47">
        <f>MAX(J77)*1.05</f>
        <v>6.5625000000000003E-2</v>
      </c>
      <c r="N77" s="48">
        <f>MIN(J77)</f>
        <v>6.25E-2</v>
      </c>
      <c r="O77" s="24"/>
    </row>
    <row r="78" spans="1:15" ht="12" customHeight="1">
      <c r="B78" s="119"/>
      <c r="C78" s="49" t="s">
        <v>44</v>
      </c>
      <c r="D78" s="117" t="str">
        <f>'Tabla 6.6 CRT'!$H$28</f>
        <v>Generar gráficos basados en datos procesados.</v>
      </c>
      <c r="E78" s="115"/>
      <c r="F78" s="115"/>
      <c r="G78" s="115"/>
      <c r="H78" s="115"/>
      <c r="I78" s="115"/>
      <c r="J78" s="115"/>
      <c r="K78" s="115"/>
      <c r="L78" s="115"/>
      <c r="M78" s="115"/>
      <c r="N78" s="116"/>
    </row>
    <row r="79" spans="1:15" ht="12" customHeight="1">
      <c r="B79" s="118">
        <v>37</v>
      </c>
      <c r="C79" s="42">
        <f>'Tabla 6.6 CRT'!$B$29</f>
        <v>45669</v>
      </c>
      <c r="D79" s="43" t="s">
        <v>45</v>
      </c>
      <c r="E79" s="50">
        <v>4.1666666666666664E-2</v>
      </c>
      <c r="F79" s="43"/>
      <c r="G79" s="55">
        <f>'Tabla 6.6 CRT'!$F$29</f>
        <v>4.1666666666666664E-2</v>
      </c>
      <c r="H79" s="46">
        <v>4.1666666666666664E-2</v>
      </c>
      <c r="I79" s="46">
        <v>4.1666666666666664E-2</v>
      </c>
      <c r="J79" s="55">
        <f>'Tabla 6.6 CRT'!$F$29</f>
        <v>4.1666666666666664E-2</v>
      </c>
      <c r="K79" s="46">
        <v>4.1666666666666664E-2</v>
      </c>
      <c r="L79" s="46">
        <v>4.1666666666666664E-2</v>
      </c>
      <c r="M79" s="47">
        <f>MAX(J79)*1.05</f>
        <v>4.3749999999999997E-2</v>
      </c>
      <c r="N79" s="48">
        <f>MIN(J79)</f>
        <v>4.1666666666666664E-2</v>
      </c>
    </row>
    <row r="80" spans="1:15" ht="12" customHeight="1">
      <c r="B80" s="119"/>
      <c r="C80" s="49" t="s">
        <v>44</v>
      </c>
      <c r="D80" s="117" t="str">
        <f>'Tabla 6.6 CRT'!$H$29</f>
        <v>Mostrar gráficos en la interfaz de usuario.</v>
      </c>
      <c r="E80" s="115"/>
      <c r="F80" s="115"/>
      <c r="G80" s="115"/>
      <c r="H80" s="115"/>
      <c r="I80" s="115"/>
      <c r="J80" s="115"/>
      <c r="K80" s="115"/>
      <c r="L80" s="115"/>
      <c r="M80" s="115"/>
      <c r="N80" s="116"/>
    </row>
    <row r="81" spans="2:14" ht="12" customHeight="1">
      <c r="B81" s="118">
        <v>38</v>
      </c>
      <c r="C81" s="42">
        <f>'Tabla 6.6 CRT'!$B$34</f>
        <v>45670</v>
      </c>
      <c r="D81" s="280" t="str">
        <f>'Tabla 6.6 CRT'!$C$30</f>
        <v>Requisito 4.1</v>
      </c>
      <c r="E81" s="50">
        <f>E83+E85+E87+E89</f>
        <v>0.22916666666666666</v>
      </c>
      <c r="F81" s="43"/>
      <c r="G81" s="55">
        <f>E81</f>
        <v>0.22916666666666666</v>
      </c>
      <c r="H81" s="56">
        <v>0.22916666666666666</v>
      </c>
      <c r="I81" s="56">
        <v>0.22916666666666666</v>
      </c>
      <c r="J81" s="55">
        <f>H81</f>
        <v>0.22916666666666666</v>
      </c>
      <c r="K81" s="56">
        <v>0.22916666666666666</v>
      </c>
      <c r="L81" s="56">
        <v>0.22916666666666666</v>
      </c>
      <c r="M81" s="47">
        <f>MAX(J81)*1.05</f>
        <v>0.24062500000000001</v>
      </c>
      <c r="N81" s="48">
        <f>MIN(J81)</f>
        <v>0.22916666666666666</v>
      </c>
    </row>
    <row r="82" spans="2:14" ht="12" customHeight="1">
      <c r="B82" s="119"/>
      <c r="C82" s="49" t="s">
        <v>44</v>
      </c>
      <c r="D82" s="117" t="str">
        <f>'Tabla 6.6 CRT'!$H$30</f>
        <v>Exportar datos procesados a Excel.</v>
      </c>
      <c r="E82" s="115"/>
      <c r="F82" s="115"/>
      <c r="G82" s="115"/>
      <c r="H82" s="115"/>
      <c r="I82" s="115"/>
      <c r="J82" s="115"/>
      <c r="K82" s="115"/>
      <c r="L82" s="115"/>
      <c r="M82" s="115"/>
      <c r="N82" s="116"/>
    </row>
    <row r="83" spans="2:14" ht="12" customHeight="1">
      <c r="B83" s="118">
        <v>39</v>
      </c>
      <c r="C83" s="42">
        <f>'Tabla 6.6 CRT'!$B$34</f>
        <v>45670</v>
      </c>
      <c r="D83" s="43" t="s">
        <v>45</v>
      </c>
      <c r="E83" s="50">
        <v>6.25E-2</v>
      </c>
      <c r="F83" s="43"/>
      <c r="G83" s="55">
        <f>'Tabla 6.6 CRT'!$F$31</f>
        <v>6.25E-2</v>
      </c>
      <c r="H83" s="56">
        <v>6.25E-2</v>
      </c>
      <c r="I83" s="56">
        <v>6.25E-2</v>
      </c>
      <c r="J83" s="55">
        <f>'Tabla 6.6 CRT'!$F$31</f>
        <v>6.25E-2</v>
      </c>
      <c r="K83" s="56">
        <v>6.25E-2</v>
      </c>
      <c r="L83" s="46">
        <v>4.1666666666666664E-2</v>
      </c>
      <c r="M83" s="47">
        <f>MAX(J83)*1.05</f>
        <v>6.5625000000000003E-2</v>
      </c>
      <c r="N83" s="48">
        <f>MIN(J83)</f>
        <v>6.25E-2</v>
      </c>
    </row>
    <row r="84" spans="2:14" ht="12" customHeight="1">
      <c r="B84" s="119"/>
      <c r="C84" s="49" t="s">
        <v>44</v>
      </c>
      <c r="D84" s="117" t="str">
        <f>'Tabla 6.6 CRT'!$H$31</f>
        <v>Crear función para exportar datos a formato Excel.</v>
      </c>
      <c r="E84" s="115"/>
      <c r="F84" s="115"/>
      <c r="G84" s="115"/>
      <c r="H84" s="115"/>
      <c r="I84" s="115"/>
      <c r="J84" s="115"/>
      <c r="K84" s="115"/>
      <c r="L84" s="115"/>
      <c r="M84" s="115"/>
      <c r="N84" s="116"/>
    </row>
    <row r="85" spans="2:14" ht="12" customHeight="1">
      <c r="B85" s="118">
        <v>40</v>
      </c>
      <c r="C85" s="42">
        <f>'Tabla 6.6 CRT'!$B$34</f>
        <v>45670</v>
      </c>
      <c r="D85" s="43" t="s">
        <v>45</v>
      </c>
      <c r="E85" s="50">
        <v>6.25E-2</v>
      </c>
      <c r="F85" s="43"/>
      <c r="G85" s="55">
        <f>'Tabla 6.6 CRT'!$F$32</f>
        <v>6.25E-2</v>
      </c>
      <c r="H85" s="56">
        <v>6.25E-2</v>
      </c>
      <c r="I85" s="56">
        <v>6.25E-2</v>
      </c>
      <c r="J85" s="55">
        <f>'Tabla 6.6 CRT'!$F$32</f>
        <v>6.25E-2</v>
      </c>
      <c r="K85" s="56">
        <v>6.25E-2</v>
      </c>
      <c r="L85" s="46">
        <v>4.1666666666666664E-2</v>
      </c>
      <c r="M85" s="47">
        <f>MAX(J85)*1.05</f>
        <v>6.5625000000000003E-2</v>
      </c>
      <c r="N85" s="48">
        <f>MIN(J85)</f>
        <v>6.25E-2</v>
      </c>
    </row>
    <row r="86" spans="2:14" ht="12" customHeight="1">
      <c r="B86" s="119"/>
      <c r="C86" s="49" t="s">
        <v>44</v>
      </c>
      <c r="D86" s="117" t="str">
        <f>'Tabla 6.6 CRT'!$H$32</f>
        <v>Validar que los datos sean exportados correctamente.</v>
      </c>
      <c r="E86" s="115"/>
      <c r="F86" s="115"/>
      <c r="G86" s="115"/>
      <c r="H86" s="115"/>
      <c r="I86" s="115"/>
      <c r="J86" s="115"/>
      <c r="K86" s="115"/>
      <c r="L86" s="115"/>
      <c r="M86" s="115"/>
      <c r="N86" s="116"/>
    </row>
    <row r="87" spans="2:14" ht="12" customHeight="1">
      <c r="B87" s="118">
        <v>41</v>
      </c>
      <c r="C87" s="42">
        <f>'Tabla 6.6 CRT'!$B$34</f>
        <v>45670</v>
      </c>
      <c r="D87" s="43" t="s">
        <v>45</v>
      </c>
      <c r="E87" s="50">
        <v>6.25E-2</v>
      </c>
      <c r="F87" s="43"/>
      <c r="G87" s="55">
        <f>'Tabla 6.6 CRT'!$F$33</f>
        <v>6.25E-2</v>
      </c>
      <c r="H87" s="56">
        <v>6.25E-2</v>
      </c>
      <c r="I87" s="56">
        <v>6.25E-2</v>
      </c>
      <c r="J87" s="55">
        <f>'Tabla 6.6 CRT'!$F$33</f>
        <v>6.25E-2</v>
      </c>
      <c r="K87" s="56">
        <v>6.25E-2</v>
      </c>
      <c r="L87" s="46">
        <v>4.1666666666666664E-2</v>
      </c>
      <c r="M87" s="47">
        <f>MAX(J87)*1.05</f>
        <v>6.5625000000000003E-2</v>
      </c>
      <c r="N87" s="48">
        <f>MIN(J87)</f>
        <v>6.25E-2</v>
      </c>
    </row>
    <row r="88" spans="2:14" ht="12" customHeight="1">
      <c r="B88" s="119"/>
      <c r="C88" s="49" t="s">
        <v>44</v>
      </c>
      <c r="D88" s="117" t="str">
        <f>'Tabla 6.6 CRT'!$H$33</f>
        <v>Añadir opción de descarga en la interfaz.</v>
      </c>
      <c r="E88" s="115"/>
      <c r="F88" s="115"/>
      <c r="G88" s="115"/>
      <c r="H88" s="115"/>
      <c r="I88" s="115"/>
      <c r="J88" s="115"/>
      <c r="K88" s="115"/>
      <c r="L88" s="115"/>
      <c r="M88" s="115"/>
      <c r="N88" s="116"/>
    </row>
    <row r="89" spans="2:14" ht="12" customHeight="1">
      <c r="B89" s="118">
        <v>42</v>
      </c>
      <c r="C89" s="42">
        <f>'Tabla 6.6 CRT'!$B$34</f>
        <v>45670</v>
      </c>
      <c r="D89" s="43" t="s">
        <v>45</v>
      </c>
      <c r="E89" s="50">
        <v>4.1666666666666664E-2</v>
      </c>
      <c r="F89" s="43"/>
      <c r="G89" s="55">
        <f>'Tabla 6.6 CRT'!$F$34</f>
        <v>4.1666666666666664E-2</v>
      </c>
      <c r="H89" s="56">
        <v>4.1666666666666664E-2</v>
      </c>
      <c r="I89" s="57">
        <v>4.1666666666666664E-2</v>
      </c>
      <c r="J89" s="55">
        <f>'Tabla 6.6 CRT'!$F$34</f>
        <v>4.1666666666666664E-2</v>
      </c>
      <c r="K89" s="56">
        <v>4.1666666666666664E-2</v>
      </c>
      <c r="L89" s="46">
        <v>4.1666666666666664E-2</v>
      </c>
      <c r="M89" s="47">
        <f>MAX(J89)*1.05</f>
        <v>4.3749999999999997E-2</v>
      </c>
      <c r="N89" s="48">
        <f>MIN(J89)</f>
        <v>4.1666666666666664E-2</v>
      </c>
    </row>
    <row r="90" spans="2:14" ht="12" customHeight="1">
      <c r="B90" s="119"/>
      <c r="C90" s="49" t="s">
        <v>44</v>
      </c>
      <c r="D90" s="117" t="str">
        <f>'Tabla 6.6 CRT'!$H$34</f>
        <v>Mostrar confirmación de exportación exitosa.</v>
      </c>
      <c r="E90" s="115"/>
      <c r="F90" s="115"/>
      <c r="G90" s="115"/>
      <c r="H90" s="115"/>
      <c r="I90" s="115"/>
      <c r="J90" s="115"/>
      <c r="K90" s="115"/>
      <c r="L90" s="115"/>
      <c r="M90" s="115"/>
      <c r="N90" s="116"/>
    </row>
    <row r="91" spans="2:14" ht="12" customHeight="1">
      <c r="B91" s="118">
        <v>43</v>
      </c>
      <c r="C91" s="42">
        <f>'Tabla 6.6 CRT'!$B$36</f>
        <v>45671</v>
      </c>
      <c r="D91" s="280" t="str">
        <f>'Tabla 6.6 CRT'!$C$35</f>
        <v>Requisito 5.1</v>
      </c>
      <c r="E91" s="50">
        <f>E93+E95+E97+E99</f>
        <v>0.22916666666666666</v>
      </c>
      <c r="F91" s="43"/>
      <c r="G91" s="55">
        <f>E91</f>
        <v>0.22916666666666666</v>
      </c>
      <c r="H91" s="56">
        <v>0.22916666666666666</v>
      </c>
      <c r="I91" s="56">
        <v>0.22916666666666666</v>
      </c>
      <c r="J91" s="55">
        <f>H91</f>
        <v>0.22916666666666666</v>
      </c>
      <c r="K91" s="56">
        <v>0.22916666666666666</v>
      </c>
      <c r="L91" s="56">
        <v>0.22916666666666666</v>
      </c>
      <c r="M91" s="47">
        <f>MAX(J91)*1.05</f>
        <v>0.24062500000000001</v>
      </c>
      <c r="N91" s="48">
        <f>MIN(J91)</f>
        <v>0.22916666666666666</v>
      </c>
    </row>
    <row r="92" spans="2:14" ht="12" customHeight="1">
      <c r="B92" s="119"/>
      <c r="C92" s="49" t="s">
        <v>44</v>
      </c>
      <c r="D92" s="117" t="str">
        <f>'Tabla 6.6 CRT'!$H$35</f>
        <v>Mostrar notificaciones de error específicas para mejorar la experiencia del usuario.</v>
      </c>
      <c r="E92" s="115"/>
      <c r="F92" s="115"/>
      <c r="G92" s="115"/>
      <c r="H92" s="115"/>
      <c r="I92" s="115"/>
      <c r="J92" s="115"/>
      <c r="K92" s="115"/>
      <c r="L92" s="115"/>
      <c r="M92" s="115"/>
      <c r="N92" s="116"/>
    </row>
    <row r="93" spans="2:14" ht="12" customHeight="1">
      <c r="B93" s="118">
        <v>44</v>
      </c>
      <c r="C93" s="42">
        <f>'Tabla 6.6 CRT'!$B$36</f>
        <v>45671</v>
      </c>
      <c r="D93" s="43" t="s">
        <v>45</v>
      </c>
      <c r="E93" s="50">
        <v>6.25E-2</v>
      </c>
      <c r="F93" s="43"/>
      <c r="G93" s="55">
        <f>'Tabla 6.6 CRT'!$F$36</f>
        <v>6.25E-2</v>
      </c>
      <c r="H93" s="56">
        <v>6.25E-2</v>
      </c>
      <c r="I93" s="56">
        <v>6.25E-2</v>
      </c>
      <c r="J93" s="55">
        <f>'Tabla 6.6 CRT'!$F$36</f>
        <v>6.25E-2</v>
      </c>
      <c r="K93" s="56">
        <v>6.25E-2</v>
      </c>
      <c r="L93" s="46">
        <v>4.1666666666666664E-2</v>
      </c>
      <c r="M93" s="47">
        <f>MAX(J93)*1.05</f>
        <v>6.5625000000000003E-2</v>
      </c>
      <c r="N93" s="48">
        <f>MIN(J93)</f>
        <v>6.25E-2</v>
      </c>
    </row>
    <row r="94" spans="2:14" ht="12" customHeight="1">
      <c r="B94" s="119"/>
      <c r="C94" s="49" t="s">
        <v>44</v>
      </c>
      <c r="D94" s="117" t="str">
        <f>'Tabla 6.6 CRT'!$H$36</f>
        <v>Definir los tipos de errores comunes en la aplicación.</v>
      </c>
      <c r="E94" s="115"/>
      <c r="F94" s="115"/>
      <c r="G94" s="115"/>
      <c r="H94" s="115"/>
      <c r="I94" s="115"/>
      <c r="J94" s="115"/>
      <c r="K94" s="115"/>
      <c r="L94" s="115"/>
      <c r="M94" s="115"/>
      <c r="N94" s="116"/>
    </row>
    <row r="95" spans="2:14" ht="12" customHeight="1">
      <c r="B95" s="118">
        <v>45</v>
      </c>
      <c r="C95" s="42">
        <f>'Tabla 6.6 CRT'!$B$37</f>
        <v>45672</v>
      </c>
      <c r="D95" s="43" t="s">
        <v>45</v>
      </c>
      <c r="E95" s="50">
        <v>6.25E-2</v>
      </c>
      <c r="F95" s="43"/>
      <c r="G95" s="55">
        <f>'Tabla 6.6 CRT'!$F$37</f>
        <v>6.25E-2</v>
      </c>
      <c r="H95" s="56">
        <v>6.25E-2</v>
      </c>
      <c r="I95" s="56">
        <v>6.25E-2</v>
      </c>
      <c r="J95" s="55">
        <f>'Tabla 6.6 CRT'!$F$37</f>
        <v>6.25E-2</v>
      </c>
      <c r="K95" s="56">
        <v>6.25E-2</v>
      </c>
      <c r="L95" s="46">
        <v>4.1666666666666664E-2</v>
      </c>
      <c r="M95" s="47">
        <f>MAX(J95)*1.05</f>
        <v>6.5625000000000003E-2</v>
      </c>
      <c r="N95" s="48">
        <f>MIN(J95)</f>
        <v>6.25E-2</v>
      </c>
    </row>
    <row r="96" spans="2:14" ht="12" customHeight="1">
      <c r="B96" s="119"/>
      <c r="C96" s="49" t="s">
        <v>44</v>
      </c>
      <c r="D96" s="117" t="str">
        <f>'Tabla 6.6 CRT'!$H$37</f>
        <v>Implementar sistema de notificaciones en la interfaz.</v>
      </c>
      <c r="E96" s="115"/>
      <c r="F96" s="115"/>
      <c r="G96" s="115"/>
      <c r="H96" s="115"/>
      <c r="I96" s="115"/>
      <c r="J96" s="115"/>
      <c r="K96" s="115"/>
      <c r="L96" s="115"/>
      <c r="M96" s="115"/>
      <c r="N96" s="116"/>
    </row>
    <row r="97" spans="2:14" ht="12" customHeight="1">
      <c r="B97" s="118">
        <v>46</v>
      </c>
      <c r="C97" s="42">
        <f>'Tabla 6.6 CRT'!$B$39</f>
        <v>45673</v>
      </c>
      <c r="D97" s="43" t="s">
        <v>45</v>
      </c>
      <c r="E97" s="50">
        <v>6.25E-2</v>
      </c>
      <c r="F97" s="43"/>
      <c r="G97" s="55">
        <f>'Tabla 6.6 CRT'!$F$38</f>
        <v>6.25E-2</v>
      </c>
      <c r="H97" s="56">
        <v>6.25E-2</v>
      </c>
      <c r="I97" s="56">
        <v>6.25E-2</v>
      </c>
      <c r="J97" s="55">
        <f>'Tabla 6.6 CRT'!$F$38</f>
        <v>6.25E-2</v>
      </c>
      <c r="K97" s="56">
        <v>6.25E-2</v>
      </c>
      <c r="L97" s="46">
        <v>4.1666666666666664E-2</v>
      </c>
      <c r="M97" s="47">
        <f>MAX(J97)*1.05</f>
        <v>6.5625000000000003E-2</v>
      </c>
      <c r="N97" s="48">
        <f>MIN(J97)</f>
        <v>6.25E-2</v>
      </c>
    </row>
    <row r="98" spans="2:14" ht="12" customHeight="1">
      <c r="B98" s="119"/>
      <c r="C98" s="49" t="s">
        <v>44</v>
      </c>
      <c r="D98" s="117" t="str">
        <f>'Tabla 6.6 CRT'!$H$38</f>
        <v>Asociar cada error a un mensaje descriptivo.</v>
      </c>
      <c r="E98" s="115"/>
      <c r="F98" s="115"/>
      <c r="G98" s="115"/>
      <c r="H98" s="115"/>
      <c r="I98" s="115"/>
      <c r="J98" s="115"/>
      <c r="K98" s="115"/>
      <c r="L98" s="115"/>
      <c r="M98" s="115"/>
      <c r="N98" s="116"/>
    </row>
    <row r="99" spans="2:14" ht="12" customHeight="1">
      <c r="B99" s="118">
        <v>47</v>
      </c>
      <c r="C99" s="42">
        <f>'Tabla 6.6 CRT'!$B$39</f>
        <v>45673</v>
      </c>
      <c r="D99" s="43" t="s">
        <v>45</v>
      </c>
      <c r="E99" s="50">
        <v>4.1666666666666664E-2</v>
      </c>
      <c r="F99" s="43"/>
      <c r="G99" s="55">
        <f>'Tabla 6.6 CRT'!$F$39</f>
        <v>4.1666666666666664E-2</v>
      </c>
      <c r="H99" s="56">
        <v>4.1666666666666664E-2</v>
      </c>
      <c r="I99" s="57">
        <v>4.1666666666666664E-2</v>
      </c>
      <c r="J99" s="55">
        <f>'Tabla 6.6 CRT'!$F$39</f>
        <v>4.1666666666666664E-2</v>
      </c>
      <c r="K99" s="56">
        <v>4.1666666666666664E-2</v>
      </c>
      <c r="L99" s="57">
        <v>4.1666666666666664E-2</v>
      </c>
      <c r="M99" s="47">
        <f>MAX(J99)*1.05</f>
        <v>4.3749999999999997E-2</v>
      </c>
      <c r="N99" s="48">
        <f>MIN(J99)</f>
        <v>4.1666666666666664E-2</v>
      </c>
    </row>
    <row r="100" spans="2:14" ht="12" customHeight="1">
      <c r="B100" s="119"/>
      <c r="C100" s="49" t="s">
        <v>44</v>
      </c>
      <c r="D100" s="117" t="str">
        <f>'Tabla 6.6 CRT'!$H$39</f>
        <v>Probar y ajustar notificaciones según la experiencia del usuario.</v>
      </c>
      <c r="E100" s="115"/>
      <c r="F100" s="115"/>
      <c r="G100" s="115"/>
      <c r="H100" s="115"/>
      <c r="I100" s="115"/>
      <c r="J100" s="115"/>
      <c r="K100" s="115"/>
      <c r="L100" s="115"/>
      <c r="M100" s="115"/>
      <c r="N100" s="116"/>
    </row>
    <row r="101" spans="2:14" ht="12" customHeight="1">
      <c r="G101" s="61"/>
    </row>
    <row r="102" spans="2:14" ht="12" customHeight="1">
      <c r="G102" s="61"/>
    </row>
    <row r="103" spans="2:14" ht="12" customHeight="1">
      <c r="E103" s="282"/>
      <c r="G103" s="282"/>
      <c r="H103" s="282"/>
      <c r="I103" s="282"/>
      <c r="J103" s="282"/>
      <c r="K103" s="282"/>
      <c r="L103" s="282"/>
      <c r="M103" s="282"/>
      <c r="N103" s="282"/>
    </row>
    <row r="104" spans="2:14" ht="12" customHeight="1">
      <c r="G104" s="61"/>
    </row>
    <row r="105" spans="2:14" ht="12" customHeight="1">
      <c r="G105" s="61"/>
    </row>
    <row r="106" spans="2:14" ht="12" customHeight="1">
      <c r="G106" s="61"/>
    </row>
    <row r="107" spans="2:14" ht="12" customHeight="1">
      <c r="G107" s="61"/>
    </row>
    <row r="108" spans="2:14" ht="12" customHeight="1">
      <c r="G108" s="61"/>
    </row>
    <row r="109" spans="2:14" ht="12" customHeight="1">
      <c r="G109" s="61"/>
    </row>
    <row r="110" spans="2:14" ht="12" customHeight="1">
      <c r="G110" s="61"/>
    </row>
    <row r="111" spans="2:14" ht="12" customHeight="1">
      <c r="G111" s="61"/>
    </row>
    <row r="112" spans="2:14" ht="12" customHeight="1">
      <c r="G112" s="61"/>
    </row>
    <row r="113" spans="7:7" ht="12" customHeight="1">
      <c r="G113" s="61"/>
    </row>
    <row r="114" spans="7:7" ht="12" customHeight="1">
      <c r="G114" s="61"/>
    </row>
    <row r="115" spans="7:7" ht="12" customHeight="1">
      <c r="G115" s="61"/>
    </row>
    <row r="116" spans="7:7" ht="12" customHeight="1">
      <c r="G116" s="61"/>
    </row>
    <row r="117" spans="7:7" ht="12" customHeight="1">
      <c r="G117" s="61"/>
    </row>
    <row r="118" spans="7:7" ht="12" customHeight="1">
      <c r="G118" s="61"/>
    </row>
    <row r="119" spans="7:7" ht="12" customHeight="1">
      <c r="G119" s="61"/>
    </row>
    <row r="120" spans="7:7" ht="12" customHeight="1">
      <c r="G120" s="61"/>
    </row>
    <row r="121" spans="7:7" ht="12" customHeight="1">
      <c r="G121" s="61"/>
    </row>
    <row r="122" spans="7:7" ht="12" customHeight="1">
      <c r="G122" s="61"/>
    </row>
    <row r="123" spans="7:7" ht="12" customHeight="1">
      <c r="G123" s="61"/>
    </row>
    <row r="124" spans="7:7" ht="12" customHeight="1">
      <c r="G124" s="61"/>
    </row>
    <row r="125" spans="7:7" ht="12" customHeight="1">
      <c r="G125" s="61"/>
    </row>
    <row r="126" spans="7:7" ht="12" customHeight="1">
      <c r="G126" s="61"/>
    </row>
    <row r="127" spans="7:7" ht="12" customHeight="1">
      <c r="G127" s="61"/>
    </row>
    <row r="128" spans="7:7" ht="12" customHeight="1">
      <c r="G128" s="61"/>
    </row>
    <row r="129" spans="7:7" ht="12" customHeight="1">
      <c r="G129" s="61"/>
    </row>
    <row r="130" spans="7:7" ht="12" customHeight="1">
      <c r="G130" s="61"/>
    </row>
    <row r="131" spans="7:7" ht="12" customHeight="1">
      <c r="G131" s="61"/>
    </row>
    <row r="132" spans="7:7" ht="12" customHeight="1">
      <c r="G132" s="61"/>
    </row>
    <row r="133" spans="7:7" ht="12" customHeight="1">
      <c r="G133" s="61"/>
    </row>
    <row r="134" spans="7:7" ht="12" customHeight="1">
      <c r="G134" s="61"/>
    </row>
    <row r="135" spans="7:7" ht="12" customHeight="1">
      <c r="G135" s="61"/>
    </row>
    <row r="136" spans="7:7" ht="12" customHeight="1">
      <c r="G136" s="61"/>
    </row>
    <row r="137" spans="7:7" ht="12" customHeight="1">
      <c r="G137" s="61"/>
    </row>
    <row r="138" spans="7:7" ht="12" customHeight="1">
      <c r="G138" s="61"/>
    </row>
    <row r="139" spans="7:7" ht="12" customHeight="1">
      <c r="G139" s="61"/>
    </row>
    <row r="140" spans="7:7" ht="12" customHeight="1">
      <c r="G140" s="61"/>
    </row>
    <row r="141" spans="7:7" ht="12" customHeight="1">
      <c r="G141" s="61"/>
    </row>
    <row r="142" spans="7:7" ht="12" customHeight="1">
      <c r="G142" s="61"/>
    </row>
    <row r="143" spans="7:7" ht="12" customHeight="1">
      <c r="G143" s="61"/>
    </row>
    <row r="144" spans="7:7" ht="12" customHeight="1">
      <c r="G144" s="61"/>
    </row>
    <row r="145" spans="7:7" ht="12" customHeight="1">
      <c r="G145" s="61"/>
    </row>
    <row r="146" spans="7:7" ht="12" customHeight="1">
      <c r="G146" s="61"/>
    </row>
    <row r="147" spans="7:7" ht="12" customHeight="1">
      <c r="G147" s="61"/>
    </row>
    <row r="148" spans="7:7" ht="12" customHeight="1">
      <c r="G148" s="61"/>
    </row>
    <row r="149" spans="7:7" ht="12" customHeight="1">
      <c r="G149" s="61"/>
    </row>
    <row r="150" spans="7:7" ht="12" customHeight="1">
      <c r="G150" s="61"/>
    </row>
    <row r="151" spans="7:7" ht="12" customHeight="1">
      <c r="G151" s="61"/>
    </row>
    <row r="152" spans="7:7" ht="12" customHeight="1">
      <c r="G152" s="61"/>
    </row>
    <row r="153" spans="7:7" ht="12" customHeight="1">
      <c r="G153" s="61"/>
    </row>
    <row r="154" spans="7:7" ht="12" customHeight="1">
      <c r="G154" s="61"/>
    </row>
    <row r="155" spans="7:7" ht="12" customHeight="1">
      <c r="G155" s="61"/>
    </row>
    <row r="156" spans="7:7" ht="12" customHeight="1">
      <c r="G156" s="61"/>
    </row>
    <row r="157" spans="7:7" ht="12" customHeight="1">
      <c r="G157" s="61"/>
    </row>
    <row r="158" spans="7:7" ht="12" customHeight="1">
      <c r="G158" s="61"/>
    </row>
    <row r="159" spans="7:7" ht="12" customHeight="1">
      <c r="G159" s="61"/>
    </row>
    <row r="160" spans="7:7" ht="12" customHeight="1">
      <c r="G160" s="61"/>
    </row>
    <row r="161" spans="7:7" ht="12" customHeight="1">
      <c r="G161" s="61"/>
    </row>
    <row r="162" spans="7:7" ht="12" customHeight="1">
      <c r="G162" s="61"/>
    </row>
    <row r="163" spans="7:7" ht="12" customHeight="1">
      <c r="G163" s="61"/>
    </row>
    <row r="164" spans="7:7" ht="12" customHeight="1">
      <c r="G164" s="61"/>
    </row>
    <row r="165" spans="7:7" ht="12" customHeight="1">
      <c r="G165" s="61"/>
    </row>
    <row r="166" spans="7:7" ht="12" customHeight="1">
      <c r="G166" s="61"/>
    </row>
    <row r="167" spans="7:7" ht="12" customHeight="1">
      <c r="G167" s="61"/>
    </row>
    <row r="168" spans="7:7" ht="12" customHeight="1">
      <c r="G168" s="61"/>
    </row>
    <row r="169" spans="7:7" ht="12" customHeight="1">
      <c r="G169" s="61"/>
    </row>
    <row r="170" spans="7:7" ht="12" customHeight="1">
      <c r="G170" s="61"/>
    </row>
    <row r="171" spans="7:7" ht="12" customHeight="1">
      <c r="G171" s="61"/>
    </row>
    <row r="172" spans="7:7" ht="12" customHeight="1">
      <c r="G172" s="61"/>
    </row>
    <row r="173" spans="7:7" ht="12" customHeight="1">
      <c r="G173" s="61"/>
    </row>
    <row r="174" spans="7:7" ht="12" customHeight="1">
      <c r="G174" s="61"/>
    </row>
    <row r="175" spans="7:7" ht="12" customHeight="1">
      <c r="G175" s="61"/>
    </row>
    <row r="176" spans="7:7" ht="12" customHeight="1">
      <c r="G176" s="61"/>
    </row>
    <row r="177" spans="7:7" ht="12" customHeight="1">
      <c r="G177" s="61"/>
    </row>
    <row r="178" spans="7:7" ht="12" customHeight="1">
      <c r="G178" s="61"/>
    </row>
    <row r="179" spans="7:7" ht="12" customHeight="1">
      <c r="G179" s="61"/>
    </row>
    <row r="180" spans="7:7" ht="12" customHeight="1">
      <c r="G180" s="61"/>
    </row>
    <row r="181" spans="7:7" ht="12" customHeight="1">
      <c r="G181" s="61"/>
    </row>
    <row r="182" spans="7:7" ht="12" customHeight="1">
      <c r="G182" s="61"/>
    </row>
    <row r="183" spans="7:7" ht="12" customHeight="1">
      <c r="G183" s="61"/>
    </row>
    <row r="184" spans="7:7" ht="12" customHeight="1">
      <c r="G184" s="61"/>
    </row>
    <row r="185" spans="7:7" ht="12" customHeight="1">
      <c r="G185" s="61"/>
    </row>
    <row r="186" spans="7:7" ht="12" customHeight="1">
      <c r="G186" s="61"/>
    </row>
    <row r="187" spans="7:7" ht="12" customHeight="1">
      <c r="G187" s="61"/>
    </row>
    <row r="188" spans="7:7" ht="12" customHeight="1">
      <c r="G188" s="61"/>
    </row>
    <row r="189" spans="7:7" ht="12" customHeight="1">
      <c r="G189" s="61"/>
    </row>
    <row r="190" spans="7:7" ht="12" customHeight="1">
      <c r="G190" s="61"/>
    </row>
    <row r="191" spans="7:7" ht="12" customHeight="1">
      <c r="G191" s="61"/>
    </row>
    <row r="192" spans="7:7" ht="12" customHeight="1">
      <c r="G192" s="61"/>
    </row>
    <row r="193" spans="7:7" ht="12" customHeight="1">
      <c r="G193" s="61"/>
    </row>
    <row r="194" spans="7:7" ht="12" customHeight="1">
      <c r="G194" s="61"/>
    </row>
    <row r="195" spans="7:7" ht="12" customHeight="1">
      <c r="G195" s="61"/>
    </row>
    <row r="196" spans="7:7" ht="12" customHeight="1">
      <c r="G196" s="61"/>
    </row>
    <row r="197" spans="7:7" ht="12" customHeight="1">
      <c r="G197" s="61"/>
    </row>
    <row r="198" spans="7:7" ht="12" customHeight="1">
      <c r="G198" s="61"/>
    </row>
    <row r="199" spans="7:7" ht="12" customHeight="1">
      <c r="G199" s="61"/>
    </row>
    <row r="200" spans="7:7" ht="12" customHeight="1">
      <c r="G200" s="61"/>
    </row>
    <row r="201" spans="7:7" ht="12" customHeight="1">
      <c r="G201" s="61"/>
    </row>
    <row r="202" spans="7:7" ht="12" customHeight="1">
      <c r="G202" s="61"/>
    </row>
    <row r="203" spans="7:7" ht="12" customHeight="1">
      <c r="G203" s="61"/>
    </row>
    <row r="204" spans="7:7" ht="12" customHeight="1">
      <c r="G204" s="61"/>
    </row>
    <row r="205" spans="7:7" ht="12" customHeight="1">
      <c r="G205" s="61"/>
    </row>
    <row r="206" spans="7:7" ht="12" customHeight="1">
      <c r="G206" s="61"/>
    </row>
    <row r="207" spans="7:7" ht="12" customHeight="1">
      <c r="G207" s="61"/>
    </row>
    <row r="208" spans="7:7" ht="12" customHeight="1">
      <c r="G208" s="61"/>
    </row>
    <row r="209" spans="7:7" ht="12" customHeight="1">
      <c r="G209" s="61"/>
    </row>
    <row r="210" spans="7:7" ht="12" customHeight="1">
      <c r="G210" s="61"/>
    </row>
    <row r="211" spans="7:7" ht="12" customHeight="1">
      <c r="G211" s="61"/>
    </row>
    <row r="212" spans="7:7" ht="12" customHeight="1">
      <c r="G212" s="61"/>
    </row>
    <row r="213" spans="7:7" ht="12" customHeight="1">
      <c r="G213" s="61"/>
    </row>
    <row r="214" spans="7:7" ht="12" customHeight="1">
      <c r="G214" s="61"/>
    </row>
    <row r="215" spans="7:7" ht="12" customHeight="1">
      <c r="G215" s="61"/>
    </row>
    <row r="216" spans="7:7" ht="12" customHeight="1">
      <c r="G216" s="61"/>
    </row>
    <row r="217" spans="7:7" ht="12" customHeight="1">
      <c r="G217" s="61"/>
    </row>
    <row r="218" spans="7:7" ht="12" customHeight="1">
      <c r="G218" s="61"/>
    </row>
    <row r="219" spans="7:7" ht="12" customHeight="1">
      <c r="G219" s="61"/>
    </row>
    <row r="220" spans="7:7" ht="12" customHeight="1">
      <c r="G220" s="61"/>
    </row>
    <row r="221" spans="7:7" ht="12" customHeight="1">
      <c r="G221" s="61"/>
    </row>
    <row r="222" spans="7:7" ht="12" customHeight="1">
      <c r="G222" s="61"/>
    </row>
    <row r="223" spans="7:7" ht="12" customHeight="1">
      <c r="G223" s="61"/>
    </row>
    <row r="224" spans="7:7" ht="12" customHeight="1">
      <c r="G224" s="61"/>
    </row>
    <row r="225" spans="7:7" ht="12" customHeight="1">
      <c r="G225" s="61"/>
    </row>
    <row r="226" spans="7:7" ht="12" customHeight="1">
      <c r="G226" s="61"/>
    </row>
    <row r="227" spans="7:7" ht="12" customHeight="1">
      <c r="G227" s="61"/>
    </row>
    <row r="228" spans="7:7" ht="12" customHeight="1">
      <c r="G228" s="61"/>
    </row>
    <row r="229" spans="7:7" ht="12" customHeight="1">
      <c r="G229" s="61"/>
    </row>
    <row r="230" spans="7:7" ht="12" customHeight="1">
      <c r="G230" s="61"/>
    </row>
    <row r="231" spans="7:7" ht="12" customHeight="1">
      <c r="G231" s="61"/>
    </row>
    <row r="232" spans="7:7" ht="12" customHeight="1">
      <c r="G232" s="61"/>
    </row>
    <row r="233" spans="7:7" ht="12" customHeight="1">
      <c r="G233" s="61"/>
    </row>
    <row r="234" spans="7:7" ht="12" customHeight="1">
      <c r="G234" s="61"/>
    </row>
    <row r="235" spans="7:7" ht="12" customHeight="1">
      <c r="G235" s="61"/>
    </row>
    <row r="236" spans="7:7" ht="12" customHeight="1">
      <c r="G236" s="61"/>
    </row>
    <row r="237" spans="7:7" ht="12" customHeight="1">
      <c r="G237" s="61"/>
    </row>
    <row r="238" spans="7:7" ht="12" customHeight="1">
      <c r="G238" s="61"/>
    </row>
    <row r="239" spans="7:7" ht="12" customHeight="1">
      <c r="G239" s="61"/>
    </row>
    <row r="240" spans="7:7" ht="12" customHeight="1">
      <c r="G240" s="61"/>
    </row>
    <row r="241" spans="7:7" ht="12" customHeight="1">
      <c r="G241" s="61"/>
    </row>
    <row r="242" spans="7:7" ht="12" customHeight="1">
      <c r="G242" s="61"/>
    </row>
    <row r="243" spans="7:7" ht="12" customHeight="1">
      <c r="G243" s="61"/>
    </row>
    <row r="244" spans="7:7" ht="12" customHeight="1">
      <c r="G244" s="61"/>
    </row>
    <row r="245" spans="7:7" ht="12" customHeight="1">
      <c r="G245" s="61"/>
    </row>
    <row r="246" spans="7:7" ht="12" customHeight="1">
      <c r="G246" s="61"/>
    </row>
    <row r="247" spans="7:7" ht="12" customHeight="1">
      <c r="G247" s="61"/>
    </row>
    <row r="248" spans="7:7" ht="12" customHeight="1">
      <c r="G248" s="61"/>
    </row>
    <row r="249" spans="7:7" ht="12" customHeight="1">
      <c r="G249" s="61"/>
    </row>
    <row r="250" spans="7:7" ht="12" customHeight="1">
      <c r="G250" s="61"/>
    </row>
    <row r="251" spans="7:7" ht="12" customHeight="1">
      <c r="G251" s="61"/>
    </row>
    <row r="252" spans="7:7" ht="12" customHeight="1">
      <c r="G252" s="61"/>
    </row>
    <row r="253" spans="7:7" ht="12" customHeight="1">
      <c r="G253" s="61"/>
    </row>
    <row r="254" spans="7:7" ht="12" customHeight="1">
      <c r="G254" s="61"/>
    </row>
    <row r="255" spans="7:7" ht="12" customHeight="1">
      <c r="G255" s="61"/>
    </row>
    <row r="256" spans="7:7" ht="12" customHeight="1">
      <c r="G256" s="61"/>
    </row>
    <row r="257" spans="7:7" ht="12" customHeight="1">
      <c r="G257" s="61"/>
    </row>
    <row r="258" spans="7:7" ht="12" customHeight="1">
      <c r="G258" s="61"/>
    </row>
    <row r="259" spans="7:7" ht="12" customHeight="1">
      <c r="G259" s="61"/>
    </row>
    <row r="260" spans="7:7" ht="12" customHeight="1">
      <c r="G260" s="61"/>
    </row>
    <row r="261" spans="7:7" ht="12" customHeight="1">
      <c r="G261" s="61"/>
    </row>
    <row r="262" spans="7:7" ht="12" customHeight="1">
      <c r="G262" s="61"/>
    </row>
    <row r="263" spans="7:7" ht="12" customHeight="1">
      <c r="G263" s="61"/>
    </row>
    <row r="264" spans="7:7" ht="12" customHeight="1">
      <c r="G264" s="61"/>
    </row>
    <row r="265" spans="7:7" ht="12" customHeight="1">
      <c r="G265" s="61"/>
    </row>
    <row r="266" spans="7:7" ht="12" customHeight="1">
      <c r="G266" s="61"/>
    </row>
    <row r="267" spans="7:7" ht="12" customHeight="1">
      <c r="G267" s="61"/>
    </row>
    <row r="268" spans="7:7" ht="12" customHeight="1">
      <c r="G268" s="61"/>
    </row>
    <row r="269" spans="7:7" ht="12" customHeight="1">
      <c r="G269" s="61"/>
    </row>
    <row r="270" spans="7:7" ht="12" customHeight="1">
      <c r="G270" s="61"/>
    </row>
    <row r="271" spans="7:7" ht="12" customHeight="1">
      <c r="G271" s="61"/>
    </row>
    <row r="272" spans="7:7" ht="12" customHeight="1">
      <c r="G272" s="61"/>
    </row>
    <row r="273" spans="7:7" ht="12" customHeight="1">
      <c r="G273" s="61"/>
    </row>
    <row r="274" spans="7:7" ht="12" customHeight="1">
      <c r="G274" s="61"/>
    </row>
    <row r="275" spans="7:7" ht="12" customHeight="1">
      <c r="G275" s="61"/>
    </row>
    <row r="276" spans="7:7" ht="12" customHeight="1">
      <c r="G276" s="61"/>
    </row>
    <row r="277" spans="7:7" ht="12" customHeight="1">
      <c r="G277" s="61"/>
    </row>
    <row r="278" spans="7:7" ht="12" customHeight="1">
      <c r="G278" s="61"/>
    </row>
    <row r="279" spans="7:7" ht="12" customHeight="1">
      <c r="G279" s="61"/>
    </row>
    <row r="280" spans="7:7" ht="12" customHeight="1">
      <c r="G280" s="61"/>
    </row>
    <row r="281" spans="7:7" ht="12" customHeight="1">
      <c r="G281" s="61"/>
    </row>
    <row r="282" spans="7:7" ht="12" customHeight="1">
      <c r="G282" s="61"/>
    </row>
    <row r="283" spans="7:7" ht="12" customHeight="1">
      <c r="G283" s="61"/>
    </row>
    <row r="284" spans="7:7" ht="12" customHeight="1">
      <c r="G284" s="61"/>
    </row>
    <row r="285" spans="7:7" ht="12" customHeight="1">
      <c r="G285" s="61"/>
    </row>
    <row r="286" spans="7:7" ht="12" customHeight="1">
      <c r="G286" s="61"/>
    </row>
    <row r="287" spans="7:7" ht="12" customHeight="1">
      <c r="G287" s="61"/>
    </row>
    <row r="288" spans="7:7" ht="12" customHeight="1">
      <c r="G288" s="61"/>
    </row>
    <row r="289" spans="7:7" ht="12" customHeight="1">
      <c r="G289" s="61"/>
    </row>
    <row r="290" spans="7:7" ht="12" customHeight="1">
      <c r="G290" s="61"/>
    </row>
    <row r="291" spans="7:7" ht="12" customHeight="1">
      <c r="G291" s="61"/>
    </row>
    <row r="292" spans="7:7" ht="12" customHeight="1">
      <c r="G292" s="61"/>
    </row>
    <row r="293" spans="7:7" ht="12" customHeight="1">
      <c r="G293" s="61"/>
    </row>
    <row r="294" spans="7:7" ht="12" customHeight="1">
      <c r="G294" s="61"/>
    </row>
    <row r="295" spans="7:7" ht="12" customHeight="1">
      <c r="G295" s="61"/>
    </row>
    <row r="296" spans="7:7" ht="12" customHeight="1">
      <c r="G296" s="61"/>
    </row>
    <row r="297" spans="7:7" ht="12" customHeight="1">
      <c r="G297" s="61"/>
    </row>
    <row r="298" spans="7:7" ht="12" customHeight="1">
      <c r="G298" s="61"/>
    </row>
    <row r="299" spans="7:7" ht="12" customHeight="1">
      <c r="G299" s="61"/>
    </row>
    <row r="300" spans="7:7" ht="12" customHeight="1">
      <c r="G300" s="61"/>
    </row>
    <row r="301" spans="7:7" ht="12" customHeight="1">
      <c r="G301" s="61"/>
    </row>
    <row r="302" spans="7:7" ht="12" customHeight="1">
      <c r="G302" s="61"/>
    </row>
    <row r="303" spans="7:7" ht="12" customHeight="1">
      <c r="G303" s="61"/>
    </row>
    <row r="304" spans="7:7" ht="12" customHeight="1">
      <c r="G304" s="61"/>
    </row>
    <row r="305" spans="7:7" ht="12" customHeight="1">
      <c r="G305" s="61"/>
    </row>
    <row r="306" spans="7:7" ht="12" customHeight="1">
      <c r="G306" s="61"/>
    </row>
    <row r="307" spans="7:7" ht="12" customHeight="1">
      <c r="G307" s="61"/>
    </row>
    <row r="308" spans="7:7" ht="12" customHeight="1">
      <c r="G308" s="61"/>
    </row>
    <row r="309" spans="7:7" ht="12" customHeight="1">
      <c r="G309" s="61"/>
    </row>
    <row r="310" spans="7:7" ht="12" customHeight="1">
      <c r="G310" s="61"/>
    </row>
    <row r="311" spans="7:7" ht="12" customHeight="1">
      <c r="G311" s="61"/>
    </row>
    <row r="312" spans="7:7" ht="12" customHeight="1">
      <c r="G312" s="61"/>
    </row>
    <row r="313" spans="7:7" ht="12" customHeight="1">
      <c r="G313" s="61"/>
    </row>
    <row r="314" spans="7:7" ht="12" customHeight="1">
      <c r="G314" s="61"/>
    </row>
    <row r="315" spans="7:7" ht="12" customHeight="1">
      <c r="G315" s="61"/>
    </row>
    <row r="316" spans="7:7" ht="12" customHeight="1">
      <c r="G316" s="61"/>
    </row>
    <row r="317" spans="7:7" ht="12" customHeight="1">
      <c r="G317" s="61"/>
    </row>
    <row r="318" spans="7:7" ht="12" customHeight="1">
      <c r="G318" s="61"/>
    </row>
    <row r="319" spans="7:7" ht="12" customHeight="1">
      <c r="G319" s="61"/>
    </row>
    <row r="320" spans="7:7" ht="12" customHeight="1">
      <c r="G320" s="61"/>
    </row>
    <row r="321" spans="7:7" ht="12" customHeight="1">
      <c r="G321" s="61"/>
    </row>
    <row r="322" spans="7:7" ht="12" customHeight="1">
      <c r="G322" s="61"/>
    </row>
    <row r="323" spans="7:7" ht="12" customHeight="1">
      <c r="G323" s="61"/>
    </row>
    <row r="324" spans="7:7" ht="12" customHeight="1">
      <c r="G324" s="61"/>
    </row>
    <row r="325" spans="7:7" ht="12" customHeight="1">
      <c r="G325" s="61"/>
    </row>
    <row r="326" spans="7:7" ht="12" customHeight="1">
      <c r="G326" s="61"/>
    </row>
    <row r="327" spans="7:7" ht="12" customHeight="1">
      <c r="G327" s="61"/>
    </row>
    <row r="328" spans="7:7" ht="12" customHeight="1">
      <c r="G328" s="61"/>
    </row>
    <row r="329" spans="7:7" ht="12" customHeight="1">
      <c r="G329" s="61"/>
    </row>
    <row r="330" spans="7:7" ht="12" customHeight="1">
      <c r="G330" s="61"/>
    </row>
    <row r="331" spans="7:7" ht="12" customHeight="1">
      <c r="G331" s="61"/>
    </row>
    <row r="332" spans="7:7" ht="12" customHeight="1">
      <c r="G332" s="61"/>
    </row>
    <row r="333" spans="7:7" ht="12" customHeight="1">
      <c r="G333" s="61"/>
    </row>
    <row r="334" spans="7:7" ht="12" customHeight="1">
      <c r="G334" s="61"/>
    </row>
    <row r="335" spans="7:7" ht="12" customHeight="1">
      <c r="G335" s="61"/>
    </row>
    <row r="336" spans="7:7" ht="12" customHeight="1">
      <c r="G336" s="61"/>
    </row>
    <row r="337" spans="7:7" ht="12" customHeight="1">
      <c r="G337" s="61"/>
    </row>
    <row r="338" spans="7:7" ht="12" customHeight="1">
      <c r="G338" s="61"/>
    </row>
    <row r="339" spans="7:7" ht="12" customHeight="1">
      <c r="G339" s="61"/>
    </row>
    <row r="340" spans="7:7" ht="12" customHeight="1">
      <c r="G340" s="61"/>
    </row>
    <row r="341" spans="7:7" ht="12" customHeight="1">
      <c r="G341" s="61"/>
    </row>
    <row r="342" spans="7:7" ht="12" customHeight="1">
      <c r="G342" s="61"/>
    </row>
    <row r="343" spans="7:7" ht="12" customHeight="1">
      <c r="G343" s="61"/>
    </row>
    <row r="344" spans="7:7" ht="12" customHeight="1">
      <c r="G344" s="61"/>
    </row>
    <row r="345" spans="7:7" ht="12" customHeight="1">
      <c r="G345" s="61"/>
    </row>
    <row r="346" spans="7:7" ht="12" customHeight="1">
      <c r="G346" s="61"/>
    </row>
    <row r="347" spans="7:7" ht="12" customHeight="1">
      <c r="G347" s="61"/>
    </row>
    <row r="348" spans="7:7" ht="12" customHeight="1">
      <c r="G348" s="61"/>
    </row>
    <row r="349" spans="7:7" ht="12" customHeight="1">
      <c r="G349" s="61"/>
    </row>
    <row r="350" spans="7:7" ht="12" customHeight="1">
      <c r="G350" s="61"/>
    </row>
    <row r="351" spans="7:7" ht="12" customHeight="1">
      <c r="G351" s="61"/>
    </row>
    <row r="352" spans="7:7" ht="12" customHeight="1">
      <c r="G352" s="61"/>
    </row>
    <row r="353" spans="7:7" ht="12" customHeight="1">
      <c r="G353" s="61"/>
    </row>
    <row r="354" spans="7:7" ht="12" customHeight="1">
      <c r="G354" s="61"/>
    </row>
    <row r="355" spans="7:7" ht="12" customHeight="1">
      <c r="G355" s="61"/>
    </row>
    <row r="356" spans="7:7" ht="12" customHeight="1">
      <c r="G356" s="61"/>
    </row>
    <row r="357" spans="7:7" ht="12" customHeight="1">
      <c r="G357" s="61"/>
    </row>
    <row r="358" spans="7:7" ht="12" customHeight="1">
      <c r="G358" s="61"/>
    </row>
    <row r="359" spans="7:7" ht="12" customHeight="1">
      <c r="G359" s="61"/>
    </row>
    <row r="360" spans="7:7" ht="12" customHeight="1">
      <c r="G360" s="61"/>
    </row>
    <row r="361" spans="7:7" ht="12" customHeight="1">
      <c r="G361" s="61"/>
    </row>
    <row r="362" spans="7:7" ht="12" customHeight="1">
      <c r="G362" s="61"/>
    </row>
    <row r="363" spans="7:7" ht="12" customHeight="1">
      <c r="G363" s="61"/>
    </row>
    <row r="364" spans="7:7" ht="12" customHeight="1">
      <c r="G364" s="61"/>
    </row>
    <row r="365" spans="7:7" ht="12" customHeight="1">
      <c r="G365" s="61"/>
    </row>
    <row r="366" spans="7:7" ht="12" customHeight="1">
      <c r="G366" s="61"/>
    </row>
    <row r="367" spans="7:7" ht="12" customHeight="1">
      <c r="G367" s="61"/>
    </row>
    <row r="368" spans="7:7" ht="12" customHeight="1">
      <c r="G368" s="61"/>
    </row>
    <row r="369" spans="7:7" ht="12" customHeight="1">
      <c r="G369" s="61"/>
    </row>
    <row r="370" spans="7:7" ht="12" customHeight="1">
      <c r="G370" s="61"/>
    </row>
    <row r="371" spans="7:7" ht="12" customHeight="1">
      <c r="G371" s="61"/>
    </row>
    <row r="372" spans="7:7" ht="12" customHeight="1">
      <c r="G372" s="61"/>
    </row>
    <row r="373" spans="7:7" ht="12" customHeight="1">
      <c r="G373" s="61"/>
    </row>
    <row r="374" spans="7:7" ht="12" customHeight="1">
      <c r="G374" s="61"/>
    </row>
    <row r="375" spans="7:7" ht="12" customHeight="1">
      <c r="G375" s="61"/>
    </row>
    <row r="376" spans="7:7" ht="12" customHeight="1">
      <c r="G376" s="61"/>
    </row>
    <row r="377" spans="7:7" ht="12" customHeight="1">
      <c r="G377" s="61"/>
    </row>
    <row r="378" spans="7:7" ht="12" customHeight="1">
      <c r="G378" s="61"/>
    </row>
    <row r="379" spans="7:7" ht="12" customHeight="1">
      <c r="G379" s="61"/>
    </row>
    <row r="380" spans="7:7" ht="12" customHeight="1">
      <c r="G380" s="61"/>
    </row>
    <row r="381" spans="7:7" ht="12" customHeight="1">
      <c r="G381" s="61"/>
    </row>
    <row r="382" spans="7:7" ht="12" customHeight="1">
      <c r="G382" s="61"/>
    </row>
    <row r="383" spans="7:7" ht="12" customHeight="1">
      <c r="G383" s="61"/>
    </row>
    <row r="384" spans="7:7" ht="12" customHeight="1">
      <c r="G384" s="61"/>
    </row>
    <row r="385" spans="7:7" ht="12" customHeight="1">
      <c r="G385" s="61"/>
    </row>
    <row r="386" spans="7:7" ht="12" customHeight="1">
      <c r="G386" s="61"/>
    </row>
    <row r="387" spans="7:7" ht="12" customHeight="1">
      <c r="G387" s="61"/>
    </row>
    <row r="388" spans="7:7" ht="12" customHeight="1">
      <c r="G388" s="61"/>
    </row>
    <row r="389" spans="7:7" ht="12" customHeight="1">
      <c r="G389" s="61"/>
    </row>
    <row r="390" spans="7:7" ht="12" customHeight="1">
      <c r="G390" s="61"/>
    </row>
    <row r="391" spans="7:7" ht="12" customHeight="1">
      <c r="G391" s="61"/>
    </row>
    <row r="392" spans="7:7" ht="12" customHeight="1">
      <c r="G392" s="61"/>
    </row>
    <row r="393" spans="7:7" ht="12" customHeight="1">
      <c r="G393" s="61"/>
    </row>
    <row r="394" spans="7:7" ht="12" customHeight="1">
      <c r="G394" s="61"/>
    </row>
    <row r="395" spans="7:7" ht="12" customHeight="1">
      <c r="G395" s="61"/>
    </row>
    <row r="396" spans="7:7" ht="12" customHeight="1">
      <c r="G396" s="61"/>
    </row>
    <row r="397" spans="7:7" ht="12" customHeight="1">
      <c r="G397" s="61"/>
    </row>
    <row r="398" spans="7:7" ht="12" customHeight="1">
      <c r="G398" s="61"/>
    </row>
    <row r="399" spans="7:7" ht="12" customHeight="1">
      <c r="G399" s="61"/>
    </row>
    <row r="400" spans="7:7" ht="12" customHeight="1">
      <c r="G400" s="61"/>
    </row>
    <row r="401" spans="7:7" ht="12" customHeight="1">
      <c r="G401" s="61"/>
    </row>
    <row r="402" spans="7:7" ht="12" customHeight="1">
      <c r="G402" s="61"/>
    </row>
    <row r="403" spans="7:7" ht="12" customHeight="1">
      <c r="G403" s="61"/>
    </row>
    <row r="404" spans="7:7" ht="12" customHeight="1">
      <c r="G404" s="61"/>
    </row>
    <row r="405" spans="7:7" ht="12" customHeight="1">
      <c r="G405" s="61"/>
    </row>
    <row r="406" spans="7:7" ht="12" customHeight="1">
      <c r="G406" s="61"/>
    </row>
    <row r="407" spans="7:7" ht="12" customHeight="1">
      <c r="G407" s="61"/>
    </row>
    <row r="408" spans="7:7" ht="12" customHeight="1">
      <c r="G408" s="61"/>
    </row>
    <row r="409" spans="7:7" ht="12" customHeight="1">
      <c r="G409" s="61"/>
    </row>
    <row r="410" spans="7:7" ht="12" customHeight="1">
      <c r="G410" s="61"/>
    </row>
    <row r="411" spans="7:7" ht="12" customHeight="1">
      <c r="G411" s="61"/>
    </row>
    <row r="412" spans="7:7" ht="12" customHeight="1">
      <c r="G412" s="61"/>
    </row>
    <row r="413" spans="7:7" ht="12" customHeight="1">
      <c r="G413" s="61"/>
    </row>
    <row r="414" spans="7:7" ht="12" customHeight="1">
      <c r="G414" s="61"/>
    </row>
    <row r="415" spans="7:7" ht="12" customHeight="1">
      <c r="G415" s="61"/>
    </row>
    <row r="416" spans="7:7" ht="12" customHeight="1">
      <c r="G416" s="61"/>
    </row>
    <row r="417" spans="7:7" ht="12" customHeight="1">
      <c r="G417" s="61"/>
    </row>
    <row r="418" spans="7:7" ht="12" customHeight="1">
      <c r="G418" s="61"/>
    </row>
    <row r="419" spans="7:7" ht="12" customHeight="1">
      <c r="G419" s="61"/>
    </row>
    <row r="420" spans="7:7" ht="12" customHeight="1">
      <c r="G420" s="61"/>
    </row>
    <row r="421" spans="7:7" ht="12" customHeight="1">
      <c r="G421" s="61"/>
    </row>
    <row r="422" spans="7:7" ht="12" customHeight="1">
      <c r="G422" s="61"/>
    </row>
    <row r="423" spans="7:7" ht="12" customHeight="1">
      <c r="G423" s="61"/>
    </row>
    <row r="424" spans="7:7" ht="12" customHeight="1">
      <c r="G424" s="61"/>
    </row>
    <row r="425" spans="7:7" ht="12" customHeight="1">
      <c r="G425" s="61"/>
    </row>
    <row r="426" spans="7:7" ht="12" customHeight="1">
      <c r="G426" s="61"/>
    </row>
    <row r="427" spans="7:7" ht="12" customHeight="1">
      <c r="G427" s="61"/>
    </row>
    <row r="428" spans="7:7" ht="12" customHeight="1">
      <c r="G428" s="61"/>
    </row>
    <row r="429" spans="7:7" ht="12" customHeight="1">
      <c r="G429" s="61"/>
    </row>
    <row r="430" spans="7:7" ht="12" customHeight="1">
      <c r="G430" s="61"/>
    </row>
    <row r="431" spans="7:7" ht="12" customHeight="1">
      <c r="G431" s="61"/>
    </row>
    <row r="432" spans="7:7" ht="12" customHeight="1">
      <c r="G432" s="61"/>
    </row>
    <row r="433" spans="7:7" ht="12" customHeight="1">
      <c r="G433" s="61"/>
    </row>
    <row r="434" spans="7:7" ht="12" customHeight="1">
      <c r="G434" s="61"/>
    </row>
    <row r="435" spans="7:7" ht="12" customHeight="1">
      <c r="G435" s="61"/>
    </row>
    <row r="436" spans="7:7" ht="12" customHeight="1">
      <c r="G436" s="61"/>
    </row>
    <row r="437" spans="7:7" ht="12" customHeight="1">
      <c r="G437" s="61"/>
    </row>
    <row r="438" spans="7:7" ht="12" customHeight="1">
      <c r="G438" s="61"/>
    </row>
    <row r="439" spans="7:7" ht="12" customHeight="1">
      <c r="G439" s="61"/>
    </row>
    <row r="440" spans="7:7" ht="12" customHeight="1">
      <c r="G440" s="61"/>
    </row>
    <row r="441" spans="7:7" ht="12" customHeight="1">
      <c r="G441" s="61"/>
    </row>
    <row r="442" spans="7:7" ht="12" customHeight="1">
      <c r="G442" s="61"/>
    </row>
    <row r="443" spans="7:7" ht="12" customHeight="1">
      <c r="G443" s="61"/>
    </row>
    <row r="444" spans="7:7" ht="12" customHeight="1">
      <c r="G444" s="61"/>
    </row>
    <row r="445" spans="7:7" ht="12" customHeight="1">
      <c r="G445" s="61"/>
    </row>
    <row r="446" spans="7:7" ht="12" customHeight="1">
      <c r="G446" s="61"/>
    </row>
    <row r="447" spans="7:7" ht="12" customHeight="1">
      <c r="G447" s="61"/>
    </row>
    <row r="448" spans="7:7" ht="12" customHeight="1">
      <c r="G448" s="61"/>
    </row>
    <row r="449" spans="7:7" ht="12" customHeight="1">
      <c r="G449" s="61"/>
    </row>
    <row r="450" spans="7:7" ht="12" customHeight="1">
      <c r="G450" s="61"/>
    </row>
    <row r="451" spans="7:7" ht="12" customHeight="1">
      <c r="G451" s="61"/>
    </row>
    <row r="452" spans="7:7" ht="12" customHeight="1">
      <c r="G452" s="61"/>
    </row>
    <row r="453" spans="7:7" ht="12" customHeight="1">
      <c r="G453" s="61"/>
    </row>
    <row r="454" spans="7:7" ht="12" customHeight="1">
      <c r="G454" s="61"/>
    </row>
    <row r="455" spans="7:7" ht="12" customHeight="1">
      <c r="G455" s="61"/>
    </row>
    <row r="456" spans="7:7" ht="12" customHeight="1">
      <c r="G456" s="61"/>
    </row>
    <row r="457" spans="7:7" ht="12" customHeight="1">
      <c r="G457" s="61"/>
    </row>
    <row r="458" spans="7:7" ht="12" customHeight="1">
      <c r="G458" s="61"/>
    </row>
    <row r="459" spans="7:7" ht="12" customHeight="1">
      <c r="G459" s="61"/>
    </row>
    <row r="460" spans="7:7" ht="12" customHeight="1">
      <c r="G460" s="61"/>
    </row>
    <row r="461" spans="7:7" ht="12" customHeight="1">
      <c r="G461" s="61"/>
    </row>
    <row r="462" spans="7:7" ht="12" customHeight="1">
      <c r="G462" s="61"/>
    </row>
    <row r="463" spans="7:7" ht="12" customHeight="1">
      <c r="G463" s="61"/>
    </row>
    <row r="464" spans="7:7" ht="12" customHeight="1">
      <c r="G464" s="61"/>
    </row>
    <row r="465" spans="7:7" ht="12" customHeight="1">
      <c r="G465" s="61"/>
    </row>
    <row r="466" spans="7:7" ht="12" customHeight="1">
      <c r="G466" s="61"/>
    </row>
    <row r="467" spans="7:7" ht="12" customHeight="1">
      <c r="G467" s="61"/>
    </row>
    <row r="468" spans="7:7" ht="12" customHeight="1">
      <c r="G468" s="61"/>
    </row>
    <row r="469" spans="7:7" ht="12" customHeight="1">
      <c r="G469" s="61"/>
    </row>
    <row r="470" spans="7:7" ht="12" customHeight="1">
      <c r="G470" s="61"/>
    </row>
    <row r="471" spans="7:7" ht="12" customHeight="1">
      <c r="G471" s="61"/>
    </row>
    <row r="472" spans="7:7" ht="12" customHeight="1">
      <c r="G472" s="61"/>
    </row>
    <row r="473" spans="7:7" ht="12" customHeight="1">
      <c r="G473" s="61"/>
    </row>
    <row r="474" spans="7:7" ht="12" customHeight="1">
      <c r="G474" s="61"/>
    </row>
    <row r="475" spans="7:7" ht="12" customHeight="1">
      <c r="G475" s="61"/>
    </row>
    <row r="476" spans="7:7" ht="12" customHeight="1">
      <c r="G476" s="61"/>
    </row>
    <row r="477" spans="7:7" ht="12" customHeight="1">
      <c r="G477" s="61"/>
    </row>
    <row r="478" spans="7:7" ht="12" customHeight="1">
      <c r="G478" s="61"/>
    </row>
    <row r="479" spans="7:7" ht="12" customHeight="1">
      <c r="G479" s="61"/>
    </row>
    <row r="480" spans="7:7" ht="12" customHeight="1">
      <c r="G480" s="61"/>
    </row>
    <row r="481" spans="7:7" ht="12" customHeight="1">
      <c r="G481" s="61"/>
    </row>
    <row r="482" spans="7:7" ht="12" customHeight="1">
      <c r="G482" s="61"/>
    </row>
    <row r="483" spans="7:7" ht="12" customHeight="1">
      <c r="G483" s="61"/>
    </row>
    <row r="484" spans="7:7" ht="12" customHeight="1">
      <c r="G484" s="61"/>
    </row>
    <row r="485" spans="7:7" ht="12" customHeight="1">
      <c r="G485" s="61"/>
    </row>
    <row r="486" spans="7:7" ht="12" customHeight="1">
      <c r="G486" s="61"/>
    </row>
    <row r="487" spans="7:7" ht="12" customHeight="1">
      <c r="G487" s="61"/>
    </row>
    <row r="488" spans="7:7" ht="12" customHeight="1">
      <c r="G488" s="61"/>
    </row>
    <row r="489" spans="7:7" ht="12" customHeight="1">
      <c r="G489" s="61"/>
    </row>
    <row r="490" spans="7:7" ht="12" customHeight="1">
      <c r="G490" s="61"/>
    </row>
    <row r="491" spans="7:7" ht="12" customHeight="1">
      <c r="G491" s="61"/>
    </row>
    <row r="492" spans="7:7" ht="12" customHeight="1">
      <c r="G492" s="61"/>
    </row>
    <row r="493" spans="7:7" ht="12" customHeight="1">
      <c r="G493" s="61"/>
    </row>
    <row r="494" spans="7:7" ht="12" customHeight="1">
      <c r="G494" s="61"/>
    </row>
    <row r="495" spans="7:7" ht="12" customHeight="1">
      <c r="G495" s="61"/>
    </row>
    <row r="496" spans="7:7" ht="12" customHeight="1">
      <c r="G496" s="61"/>
    </row>
    <row r="497" spans="7:7" ht="12" customHeight="1">
      <c r="G497" s="61"/>
    </row>
    <row r="498" spans="7:7" ht="12" customHeight="1">
      <c r="G498" s="61"/>
    </row>
    <row r="499" spans="7:7" ht="12" customHeight="1">
      <c r="G499" s="61"/>
    </row>
    <row r="500" spans="7:7" ht="12" customHeight="1">
      <c r="G500" s="61"/>
    </row>
    <row r="501" spans="7:7" ht="12" customHeight="1">
      <c r="G501" s="61"/>
    </row>
    <row r="502" spans="7:7" ht="12" customHeight="1">
      <c r="G502" s="61"/>
    </row>
    <row r="503" spans="7:7" ht="12" customHeight="1">
      <c r="G503" s="61"/>
    </row>
    <row r="504" spans="7:7" ht="12" customHeight="1">
      <c r="G504" s="61"/>
    </row>
    <row r="505" spans="7:7" ht="12" customHeight="1">
      <c r="G505" s="61"/>
    </row>
    <row r="506" spans="7:7" ht="12" customHeight="1">
      <c r="G506" s="61"/>
    </row>
    <row r="507" spans="7:7" ht="12" customHeight="1">
      <c r="G507" s="61"/>
    </row>
    <row r="508" spans="7:7" ht="12" customHeight="1">
      <c r="G508" s="61"/>
    </row>
    <row r="509" spans="7:7" ht="12" customHeight="1">
      <c r="G509" s="61"/>
    </row>
    <row r="510" spans="7:7" ht="12" customHeight="1">
      <c r="G510" s="61"/>
    </row>
    <row r="511" spans="7:7" ht="12" customHeight="1">
      <c r="G511" s="61"/>
    </row>
    <row r="512" spans="7:7" ht="12" customHeight="1">
      <c r="G512" s="61"/>
    </row>
    <row r="513" spans="7:7" ht="12" customHeight="1">
      <c r="G513" s="61"/>
    </row>
    <row r="514" spans="7:7" ht="12" customHeight="1">
      <c r="G514" s="61"/>
    </row>
    <row r="515" spans="7:7" ht="12" customHeight="1">
      <c r="G515" s="61"/>
    </row>
    <row r="516" spans="7:7" ht="12" customHeight="1">
      <c r="G516" s="61"/>
    </row>
    <row r="517" spans="7:7" ht="12" customHeight="1">
      <c r="G517" s="61"/>
    </row>
    <row r="518" spans="7:7" ht="12" customHeight="1">
      <c r="G518" s="61"/>
    </row>
    <row r="519" spans="7:7" ht="12" customHeight="1">
      <c r="G519" s="61"/>
    </row>
    <row r="520" spans="7:7" ht="12" customHeight="1">
      <c r="G520" s="61"/>
    </row>
    <row r="521" spans="7:7" ht="12" customHeight="1">
      <c r="G521" s="61"/>
    </row>
    <row r="522" spans="7:7" ht="12" customHeight="1">
      <c r="G522" s="61"/>
    </row>
    <row r="523" spans="7:7" ht="12" customHeight="1">
      <c r="G523" s="61"/>
    </row>
    <row r="524" spans="7:7" ht="12" customHeight="1">
      <c r="G524" s="61"/>
    </row>
    <row r="525" spans="7:7" ht="12" customHeight="1">
      <c r="G525" s="61"/>
    </row>
    <row r="526" spans="7:7" ht="12" customHeight="1">
      <c r="G526" s="61"/>
    </row>
    <row r="527" spans="7:7" ht="12" customHeight="1">
      <c r="G527" s="61"/>
    </row>
    <row r="528" spans="7:7" ht="12" customHeight="1">
      <c r="G528" s="61"/>
    </row>
    <row r="529" spans="7:7" ht="12" customHeight="1">
      <c r="G529" s="61"/>
    </row>
    <row r="530" spans="7:7" ht="12" customHeight="1">
      <c r="G530" s="61"/>
    </row>
    <row r="531" spans="7:7" ht="12" customHeight="1">
      <c r="G531" s="61"/>
    </row>
    <row r="532" spans="7:7" ht="12" customHeight="1">
      <c r="G532" s="61"/>
    </row>
    <row r="533" spans="7:7" ht="12" customHeight="1">
      <c r="G533" s="61"/>
    </row>
    <row r="534" spans="7:7" ht="12" customHeight="1">
      <c r="G534" s="61"/>
    </row>
    <row r="535" spans="7:7" ht="12" customHeight="1">
      <c r="G535" s="61"/>
    </row>
    <row r="536" spans="7:7" ht="12" customHeight="1">
      <c r="G536" s="61"/>
    </row>
    <row r="537" spans="7:7" ht="12" customHeight="1">
      <c r="G537" s="61"/>
    </row>
    <row r="538" spans="7:7" ht="12" customHeight="1">
      <c r="G538" s="61"/>
    </row>
    <row r="539" spans="7:7" ht="12" customHeight="1">
      <c r="G539" s="61"/>
    </row>
    <row r="540" spans="7:7" ht="12" customHeight="1">
      <c r="G540" s="61"/>
    </row>
    <row r="541" spans="7:7" ht="12" customHeight="1">
      <c r="G541" s="61"/>
    </row>
    <row r="542" spans="7:7" ht="12" customHeight="1">
      <c r="G542" s="61"/>
    </row>
    <row r="543" spans="7:7" ht="12" customHeight="1">
      <c r="G543" s="61"/>
    </row>
    <row r="544" spans="7:7" ht="12" customHeight="1">
      <c r="G544" s="61"/>
    </row>
    <row r="545" spans="7:7" ht="12" customHeight="1">
      <c r="G545" s="61"/>
    </row>
    <row r="546" spans="7:7" ht="12" customHeight="1">
      <c r="G546" s="61"/>
    </row>
    <row r="547" spans="7:7" ht="12" customHeight="1">
      <c r="G547" s="61"/>
    </row>
    <row r="548" spans="7:7" ht="12" customHeight="1">
      <c r="G548" s="61"/>
    </row>
    <row r="549" spans="7:7" ht="12" customHeight="1">
      <c r="G549" s="61"/>
    </row>
    <row r="550" spans="7:7" ht="12" customHeight="1">
      <c r="G550" s="61"/>
    </row>
    <row r="551" spans="7:7" ht="12" customHeight="1">
      <c r="G551" s="61"/>
    </row>
    <row r="552" spans="7:7" ht="12" customHeight="1">
      <c r="G552" s="61"/>
    </row>
    <row r="553" spans="7:7" ht="12" customHeight="1">
      <c r="G553" s="61"/>
    </row>
    <row r="554" spans="7:7" ht="12" customHeight="1">
      <c r="G554" s="61"/>
    </row>
    <row r="555" spans="7:7" ht="12" customHeight="1">
      <c r="G555" s="61"/>
    </row>
    <row r="556" spans="7:7" ht="12" customHeight="1">
      <c r="G556" s="61"/>
    </row>
    <row r="557" spans="7:7" ht="12" customHeight="1">
      <c r="G557" s="61"/>
    </row>
    <row r="558" spans="7:7" ht="12" customHeight="1">
      <c r="G558" s="61"/>
    </row>
    <row r="559" spans="7:7" ht="12" customHeight="1">
      <c r="G559" s="61"/>
    </row>
    <row r="560" spans="7:7" ht="12" customHeight="1">
      <c r="G560" s="61"/>
    </row>
    <row r="561" spans="7:7" ht="12" customHeight="1">
      <c r="G561" s="61"/>
    </row>
    <row r="562" spans="7:7" ht="12" customHeight="1">
      <c r="G562" s="61"/>
    </row>
    <row r="563" spans="7:7" ht="12" customHeight="1">
      <c r="G563" s="61"/>
    </row>
    <row r="564" spans="7:7" ht="12" customHeight="1">
      <c r="G564" s="61"/>
    </row>
    <row r="565" spans="7:7" ht="12" customHeight="1">
      <c r="G565" s="61"/>
    </row>
    <row r="566" spans="7:7" ht="12" customHeight="1">
      <c r="G566" s="61"/>
    </row>
    <row r="567" spans="7:7" ht="12" customHeight="1">
      <c r="G567" s="61"/>
    </row>
    <row r="568" spans="7:7" ht="12" customHeight="1">
      <c r="G568" s="61"/>
    </row>
    <row r="569" spans="7:7" ht="12" customHeight="1">
      <c r="G569" s="61"/>
    </row>
    <row r="570" spans="7:7" ht="12" customHeight="1">
      <c r="G570" s="61"/>
    </row>
    <row r="571" spans="7:7" ht="12" customHeight="1">
      <c r="G571" s="61"/>
    </row>
    <row r="572" spans="7:7" ht="12" customHeight="1">
      <c r="G572" s="61"/>
    </row>
    <row r="573" spans="7:7" ht="12" customHeight="1">
      <c r="G573" s="61"/>
    </row>
    <row r="574" spans="7:7" ht="12" customHeight="1">
      <c r="G574" s="61"/>
    </row>
    <row r="575" spans="7:7" ht="12" customHeight="1">
      <c r="G575" s="61"/>
    </row>
    <row r="576" spans="7:7" ht="12" customHeight="1">
      <c r="G576" s="61"/>
    </row>
    <row r="577" spans="7:7" ht="12" customHeight="1">
      <c r="G577" s="61"/>
    </row>
    <row r="578" spans="7:7" ht="12" customHeight="1">
      <c r="G578" s="61"/>
    </row>
    <row r="579" spans="7:7" ht="12" customHeight="1">
      <c r="G579" s="61"/>
    </row>
    <row r="580" spans="7:7" ht="12" customHeight="1">
      <c r="G580" s="61"/>
    </row>
    <row r="581" spans="7:7" ht="12" customHeight="1">
      <c r="G581" s="61"/>
    </row>
    <row r="582" spans="7:7" ht="12" customHeight="1">
      <c r="G582" s="61"/>
    </row>
    <row r="583" spans="7:7" ht="12" customHeight="1">
      <c r="G583" s="61"/>
    </row>
    <row r="584" spans="7:7" ht="12" customHeight="1">
      <c r="G584" s="61"/>
    </row>
    <row r="585" spans="7:7" ht="12" customHeight="1">
      <c r="G585" s="61"/>
    </row>
    <row r="586" spans="7:7" ht="12" customHeight="1">
      <c r="G586" s="61"/>
    </row>
    <row r="587" spans="7:7" ht="12" customHeight="1">
      <c r="G587" s="61"/>
    </row>
    <row r="588" spans="7:7" ht="12" customHeight="1">
      <c r="G588" s="61"/>
    </row>
    <row r="589" spans="7:7" ht="12" customHeight="1">
      <c r="G589" s="61"/>
    </row>
    <row r="590" spans="7:7" ht="12" customHeight="1">
      <c r="G590" s="61"/>
    </row>
    <row r="591" spans="7:7" ht="12" customHeight="1">
      <c r="G591" s="61"/>
    </row>
    <row r="592" spans="7:7" ht="12" customHeight="1">
      <c r="G592" s="61"/>
    </row>
    <row r="593" spans="7:7" ht="12" customHeight="1">
      <c r="G593" s="61"/>
    </row>
    <row r="594" spans="7:7" ht="12" customHeight="1">
      <c r="G594" s="61"/>
    </row>
    <row r="595" spans="7:7" ht="12" customHeight="1">
      <c r="G595" s="61"/>
    </row>
    <row r="596" spans="7:7" ht="12" customHeight="1">
      <c r="G596" s="61"/>
    </row>
    <row r="597" spans="7:7" ht="12" customHeight="1">
      <c r="G597" s="61"/>
    </row>
    <row r="598" spans="7:7" ht="12" customHeight="1">
      <c r="G598" s="61"/>
    </row>
    <row r="599" spans="7:7" ht="12" customHeight="1">
      <c r="G599" s="61"/>
    </row>
    <row r="600" spans="7:7" ht="12" customHeight="1">
      <c r="G600" s="61"/>
    </row>
    <row r="601" spans="7:7" ht="12" customHeight="1">
      <c r="G601" s="61"/>
    </row>
    <row r="602" spans="7:7" ht="12" customHeight="1">
      <c r="G602" s="61"/>
    </row>
    <row r="603" spans="7:7" ht="12" customHeight="1">
      <c r="G603" s="61"/>
    </row>
    <row r="604" spans="7:7" ht="12" customHeight="1">
      <c r="G604" s="61"/>
    </row>
    <row r="605" spans="7:7" ht="12" customHeight="1">
      <c r="G605" s="61"/>
    </row>
    <row r="606" spans="7:7" ht="12" customHeight="1">
      <c r="G606" s="61"/>
    </row>
    <row r="607" spans="7:7" ht="12" customHeight="1">
      <c r="G607" s="61"/>
    </row>
    <row r="608" spans="7:7" ht="12" customHeight="1">
      <c r="G608" s="61"/>
    </row>
    <row r="609" spans="7:7" ht="12" customHeight="1">
      <c r="G609" s="61"/>
    </row>
    <row r="610" spans="7:7" ht="12" customHeight="1">
      <c r="G610" s="61"/>
    </row>
    <row r="611" spans="7:7" ht="12" customHeight="1">
      <c r="G611" s="61"/>
    </row>
    <row r="612" spans="7:7" ht="12" customHeight="1">
      <c r="G612" s="61"/>
    </row>
    <row r="613" spans="7:7" ht="12" customHeight="1">
      <c r="G613" s="61"/>
    </row>
    <row r="614" spans="7:7" ht="12" customHeight="1">
      <c r="G614" s="61"/>
    </row>
    <row r="615" spans="7:7" ht="12" customHeight="1">
      <c r="G615" s="61"/>
    </row>
    <row r="616" spans="7:7" ht="12" customHeight="1">
      <c r="G616" s="61"/>
    </row>
    <row r="617" spans="7:7" ht="12" customHeight="1">
      <c r="G617" s="61"/>
    </row>
    <row r="618" spans="7:7" ht="12" customHeight="1">
      <c r="G618" s="61"/>
    </row>
    <row r="619" spans="7:7" ht="12" customHeight="1">
      <c r="G619" s="61"/>
    </row>
    <row r="620" spans="7:7" ht="12" customHeight="1">
      <c r="G620" s="61"/>
    </row>
    <row r="621" spans="7:7" ht="12" customHeight="1">
      <c r="G621" s="61"/>
    </row>
    <row r="622" spans="7:7" ht="12" customHeight="1">
      <c r="G622" s="61"/>
    </row>
    <row r="623" spans="7:7" ht="12" customHeight="1">
      <c r="G623" s="61"/>
    </row>
    <row r="624" spans="7:7" ht="12" customHeight="1">
      <c r="G624" s="61"/>
    </row>
    <row r="625" spans="7:7" ht="12" customHeight="1">
      <c r="G625" s="61"/>
    </row>
    <row r="626" spans="7:7" ht="12" customHeight="1">
      <c r="G626" s="61"/>
    </row>
    <row r="627" spans="7:7" ht="12" customHeight="1">
      <c r="G627" s="61"/>
    </row>
    <row r="628" spans="7:7" ht="12" customHeight="1">
      <c r="G628" s="61"/>
    </row>
    <row r="629" spans="7:7" ht="12" customHeight="1">
      <c r="G629" s="61"/>
    </row>
    <row r="630" spans="7:7" ht="12" customHeight="1">
      <c r="G630" s="61"/>
    </row>
    <row r="631" spans="7:7" ht="12" customHeight="1">
      <c r="G631" s="61"/>
    </row>
    <row r="632" spans="7:7" ht="12" customHeight="1">
      <c r="G632" s="61"/>
    </row>
    <row r="633" spans="7:7" ht="12" customHeight="1">
      <c r="G633" s="61"/>
    </row>
    <row r="634" spans="7:7" ht="12" customHeight="1">
      <c r="G634" s="61"/>
    </row>
    <row r="635" spans="7:7" ht="12" customHeight="1">
      <c r="G635" s="61"/>
    </row>
    <row r="636" spans="7:7" ht="12" customHeight="1">
      <c r="G636" s="61"/>
    </row>
    <row r="637" spans="7:7" ht="12" customHeight="1">
      <c r="G637" s="61"/>
    </row>
    <row r="638" spans="7:7" ht="12" customHeight="1">
      <c r="G638" s="61"/>
    </row>
    <row r="639" spans="7:7" ht="12" customHeight="1">
      <c r="G639" s="61"/>
    </row>
    <row r="640" spans="7:7" ht="12" customHeight="1">
      <c r="G640" s="61"/>
    </row>
    <row r="641" spans="7:7" ht="12" customHeight="1">
      <c r="G641" s="61"/>
    </row>
    <row r="642" spans="7:7" ht="12" customHeight="1">
      <c r="G642" s="61"/>
    </row>
    <row r="643" spans="7:7" ht="12" customHeight="1">
      <c r="G643" s="61"/>
    </row>
    <row r="644" spans="7:7" ht="12" customHeight="1">
      <c r="G644" s="61"/>
    </row>
    <row r="645" spans="7:7" ht="12" customHeight="1">
      <c r="G645" s="61"/>
    </row>
    <row r="646" spans="7:7" ht="12" customHeight="1">
      <c r="G646" s="61"/>
    </row>
    <row r="647" spans="7:7" ht="12" customHeight="1">
      <c r="G647" s="61"/>
    </row>
    <row r="648" spans="7:7" ht="12" customHeight="1">
      <c r="G648" s="61"/>
    </row>
    <row r="649" spans="7:7" ht="12" customHeight="1">
      <c r="G649" s="61"/>
    </row>
    <row r="650" spans="7:7" ht="12" customHeight="1">
      <c r="G650" s="61"/>
    </row>
    <row r="651" spans="7:7" ht="12" customHeight="1">
      <c r="G651" s="61"/>
    </row>
    <row r="652" spans="7:7" ht="12" customHeight="1">
      <c r="G652" s="61"/>
    </row>
    <row r="653" spans="7:7" ht="12" customHeight="1">
      <c r="G653" s="61"/>
    </row>
    <row r="654" spans="7:7" ht="12" customHeight="1">
      <c r="G654" s="61"/>
    </row>
    <row r="655" spans="7:7" ht="12" customHeight="1">
      <c r="G655" s="61"/>
    </row>
    <row r="656" spans="7:7" ht="12" customHeight="1">
      <c r="G656" s="61"/>
    </row>
    <row r="657" spans="7:7" ht="12" customHeight="1">
      <c r="G657" s="61"/>
    </row>
    <row r="658" spans="7:7" ht="12" customHeight="1">
      <c r="G658" s="61"/>
    </row>
    <row r="659" spans="7:7" ht="12" customHeight="1">
      <c r="G659" s="61"/>
    </row>
    <row r="660" spans="7:7" ht="12" customHeight="1">
      <c r="G660" s="61"/>
    </row>
    <row r="661" spans="7:7" ht="12" customHeight="1">
      <c r="G661" s="61"/>
    </row>
    <row r="662" spans="7:7" ht="12" customHeight="1">
      <c r="G662" s="61"/>
    </row>
    <row r="663" spans="7:7" ht="12" customHeight="1">
      <c r="G663" s="61"/>
    </row>
    <row r="664" spans="7:7" ht="12" customHeight="1">
      <c r="G664" s="61"/>
    </row>
    <row r="665" spans="7:7" ht="12" customHeight="1">
      <c r="G665" s="61"/>
    </row>
    <row r="666" spans="7:7" ht="12" customHeight="1">
      <c r="G666" s="61"/>
    </row>
    <row r="667" spans="7:7" ht="12" customHeight="1">
      <c r="G667" s="61"/>
    </row>
    <row r="668" spans="7:7" ht="12" customHeight="1">
      <c r="G668" s="61"/>
    </row>
    <row r="669" spans="7:7" ht="12" customHeight="1">
      <c r="G669" s="61"/>
    </row>
    <row r="670" spans="7:7" ht="12" customHeight="1">
      <c r="G670" s="61"/>
    </row>
    <row r="671" spans="7:7" ht="12" customHeight="1">
      <c r="G671" s="61"/>
    </row>
    <row r="672" spans="7:7" ht="12" customHeight="1">
      <c r="G672" s="61"/>
    </row>
    <row r="673" spans="7:7" ht="12" customHeight="1">
      <c r="G673" s="61"/>
    </row>
    <row r="674" spans="7:7" ht="12" customHeight="1">
      <c r="G674" s="61"/>
    </row>
    <row r="675" spans="7:7" ht="12" customHeight="1">
      <c r="G675" s="61"/>
    </row>
    <row r="676" spans="7:7" ht="12" customHeight="1">
      <c r="G676" s="61"/>
    </row>
    <row r="677" spans="7:7" ht="12" customHeight="1">
      <c r="G677" s="61"/>
    </row>
    <row r="678" spans="7:7" ht="12" customHeight="1">
      <c r="G678" s="61"/>
    </row>
    <row r="679" spans="7:7" ht="12" customHeight="1">
      <c r="G679" s="61"/>
    </row>
    <row r="680" spans="7:7" ht="12" customHeight="1">
      <c r="G680" s="61"/>
    </row>
    <row r="681" spans="7:7" ht="12" customHeight="1">
      <c r="G681" s="61"/>
    </row>
    <row r="682" spans="7:7" ht="12" customHeight="1">
      <c r="G682" s="61"/>
    </row>
    <row r="683" spans="7:7" ht="12" customHeight="1">
      <c r="G683" s="61"/>
    </row>
    <row r="684" spans="7:7" ht="12" customHeight="1">
      <c r="G684" s="61"/>
    </row>
    <row r="685" spans="7:7" ht="12" customHeight="1">
      <c r="G685" s="61"/>
    </row>
    <row r="686" spans="7:7" ht="12" customHeight="1">
      <c r="G686" s="61"/>
    </row>
    <row r="687" spans="7:7" ht="12" customHeight="1">
      <c r="G687" s="61"/>
    </row>
    <row r="688" spans="7:7" ht="12" customHeight="1">
      <c r="G688" s="61"/>
    </row>
    <row r="689" spans="7:7" ht="12" customHeight="1">
      <c r="G689" s="61"/>
    </row>
    <row r="690" spans="7:7" ht="12" customHeight="1">
      <c r="G690" s="61"/>
    </row>
    <row r="691" spans="7:7" ht="12" customHeight="1">
      <c r="G691" s="61"/>
    </row>
    <row r="692" spans="7:7" ht="12" customHeight="1">
      <c r="G692" s="61"/>
    </row>
    <row r="693" spans="7:7" ht="12" customHeight="1">
      <c r="G693" s="61"/>
    </row>
    <row r="694" spans="7:7" ht="12" customHeight="1">
      <c r="G694" s="61"/>
    </row>
    <row r="695" spans="7:7" ht="12" customHeight="1">
      <c r="G695" s="61"/>
    </row>
    <row r="696" spans="7:7" ht="12" customHeight="1">
      <c r="G696" s="61"/>
    </row>
    <row r="697" spans="7:7" ht="12" customHeight="1">
      <c r="G697" s="61"/>
    </row>
    <row r="698" spans="7:7" ht="12" customHeight="1">
      <c r="G698" s="61"/>
    </row>
    <row r="699" spans="7:7" ht="12" customHeight="1">
      <c r="G699" s="61"/>
    </row>
    <row r="700" spans="7:7" ht="12" customHeight="1">
      <c r="G700" s="61"/>
    </row>
    <row r="701" spans="7:7" ht="12" customHeight="1">
      <c r="G701" s="61"/>
    </row>
    <row r="702" spans="7:7" ht="12" customHeight="1">
      <c r="G702" s="61"/>
    </row>
    <row r="703" spans="7:7" ht="12" customHeight="1">
      <c r="G703" s="61"/>
    </row>
    <row r="704" spans="7:7" ht="12" customHeight="1">
      <c r="G704" s="61"/>
    </row>
    <row r="705" spans="7:7" ht="12" customHeight="1">
      <c r="G705" s="61"/>
    </row>
    <row r="706" spans="7:7" ht="12" customHeight="1">
      <c r="G706" s="61"/>
    </row>
    <row r="707" spans="7:7" ht="12" customHeight="1">
      <c r="G707" s="61"/>
    </row>
    <row r="708" spans="7:7" ht="12" customHeight="1">
      <c r="G708" s="61"/>
    </row>
    <row r="709" spans="7:7" ht="12" customHeight="1">
      <c r="G709" s="61"/>
    </row>
    <row r="710" spans="7:7" ht="12" customHeight="1">
      <c r="G710" s="61"/>
    </row>
    <row r="711" spans="7:7" ht="12" customHeight="1">
      <c r="G711" s="61"/>
    </row>
    <row r="712" spans="7:7" ht="12" customHeight="1">
      <c r="G712" s="61"/>
    </row>
    <row r="713" spans="7:7" ht="12" customHeight="1">
      <c r="G713" s="61"/>
    </row>
    <row r="714" spans="7:7" ht="12" customHeight="1">
      <c r="G714" s="61"/>
    </row>
    <row r="715" spans="7:7" ht="12" customHeight="1">
      <c r="G715" s="61"/>
    </row>
    <row r="716" spans="7:7" ht="12" customHeight="1">
      <c r="G716" s="61"/>
    </row>
    <row r="717" spans="7:7" ht="12" customHeight="1">
      <c r="G717" s="61"/>
    </row>
    <row r="718" spans="7:7" ht="12" customHeight="1">
      <c r="G718" s="61"/>
    </row>
    <row r="719" spans="7:7" ht="12" customHeight="1">
      <c r="G719" s="61"/>
    </row>
    <row r="720" spans="7:7" ht="12" customHeight="1">
      <c r="G720" s="61"/>
    </row>
    <row r="721" spans="7:7" ht="12" customHeight="1">
      <c r="G721" s="61"/>
    </row>
    <row r="722" spans="7:7" ht="12" customHeight="1">
      <c r="G722" s="61"/>
    </row>
    <row r="723" spans="7:7" ht="12" customHeight="1">
      <c r="G723" s="61"/>
    </row>
    <row r="724" spans="7:7" ht="12" customHeight="1">
      <c r="G724" s="61"/>
    </row>
    <row r="725" spans="7:7" ht="12" customHeight="1">
      <c r="G725" s="61"/>
    </row>
    <row r="726" spans="7:7" ht="12" customHeight="1">
      <c r="G726" s="61"/>
    </row>
    <row r="727" spans="7:7" ht="12" customHeight="1">
      <c r="G727" s="61"/>
    </row>
    <row r="728" spans="7:7" ht="12" customHeight="1">
      <c r="G728" s="61"/>
    </row>
    <row r="729" spans="7:7" ht="12" customHeight="1">
      <c r="G729" s="61"/>
    </row>
    <row r="730" spans="7:7" ht="12" customHeight="1">
      <c r="G730" s="61"/>
    </row>
    <row r="731" spans="7:7" ht="12" customHeight="1">
      <c r="G731" s="61"/>
    </row>
    <row r="732" spans="7:7" ht="12" customHeight="1">
      <c r="G732" s="61"/>
    </row>
    <row r="733" spans="7:7" ht="12" customHeight="1">
      <c r="G733" s="61"/>
    </row>
    <row r="734" spans="7:7" ht="12" customHeight="1">
      <c r="G734" s="61"/>
    </row>
    <row r="735" spans="7:7" ht="12" customHeight="1">
      <c r="G735" s="61"/>
    </row>
    <row r="736" spans="7:7" ht="12" customHeight="1">
      <c r="G736" s="61"/>
    </row>
    <row r="737" spans="7:7" ht="12" customHeight="1">
      <c r="G737" s="61"/>
    </row>
    <row r="738" spans="7:7" ht="12" customHeight="1">
      <c r="G738" s="61"/>
    </row>
    <row r="739" spans="7:7" ht="12" customHeight="1">
      <c r="G739" s="61"/>
    </row>
    <row r="740" spans="7:7" ht="12" customHeight="1">
      <c r="G740" s="61"/>
    </row>
    <row r="741" spans="7:7" ht="12" customHeight="1">
      <c r="G741" s="61"/>
    </row>
    <row r="742" spans="7:7" ht="12" customHeight="1">
      <c r="G742" s="61"/>
    </row>
    <row r="743" spans="7:7" ht="12" customHeight="1">
      <c r="G743" s="61"/>
    </row>
    <row r="744" spans="7:7" ht="12" customHeight="1">
      <c r="G744" s="61"/>
    </row>
    <row r="745" spans="7:7" ht="12" customHeight="1">
      <c r="G745" s="61"/>
    </row>
    <row r="746" spans="7:7" ht="12" customHeight="1">
      <c r="G746" s="61"/>
    </row>
    <row r="747" spans="7:7" ht="12" customHeight="1">
      <c r="G747" s="61"/>
    </row>
    <row r="748" spans="7:7" ht="12" customHeight="1">
      <c r="G748" s="61"/>
    </row>
    <row r="749" spans="7:7" ht="12" customHeight="1">
      <c r="G749" s="61"/>
    </row>
    <row r="750" spans="7:7" ht="12" customHeight="1">
      <c r="G750" s="61"/>
    </row>
    <row r="751" spans="7:7" ht="12" customHeight="1">
      <c r="G751" s="61"/>
    </row>
    <row r="752" spans="7:7" ht="12" customHeight="1">
      <c r="G752" s="61"/>
    </row>
    <row r="753" spans="7:7" ht="12" customHeight="1">
      <c r="G753" s="61"/>
    </row>
    <row r="754" spans="7:7" ht="12" customHeight="1">
      <c r="G754" s="61"/>
    </row>
    <row r="755" spans="7:7" ht="12" customHeight="1">
      <c r="G755" s="61"/>
    </row>
    <row r="756" spans="7:7" ht="12" customHeight="1">
      <c r="G756" s="61"/>
    </row>
    <row r="757" spans="7:7" ht="12" customHeight="1">
      <c r="G757" s="61"/>
    </row>
    <row r="758" spans="7:7" ht="12" customHeight="1">
      <c r="G758" s="61"/>
    </row>
    <row r="759" spans="7:7" ht="12" customHeight="1">
      <c r="G759" s="61"/>
    </row>
    <row r="760" spans="7:7" ht="12" customHeight="1">
      <c r="G760" s="61"/>
    </row>
    <row r="761" spans="7:7" ht="12" customHeight="1">
      <c r="G761" s="61"/>
    </row>
    <row r="762" spans="7:7" ht="12" customHeight="1">
      <c r="G762" s="61"/>
    </row>
    <row r="763" spans="7:7" ht="12" customHeight="1">
      <c r="G763" s="61"/>
    </row>
    <row r="764" spans="7:7" ht="12" customHeight="1">
      <c r="G764" s="61"/>
    </row>
    <row r="765" spans="7:7" ht="12" customHeight="1">
      <c r="G765" s="61"/>
    </row>
    <row r="766" spans="7:7" ht="12" customHeight="1">
      <c r="G766" s="61"/>
    </row>
    <row r="767" spans="7:7" ht="12" customHeight="1">
      <c r="G767" s="61"/>
    </row>
    <row r="768" spans="7:7" ht="12" customHeight="1">
      <c r="G768" s="61"/>
    </row>
    <row r="769" spans="7:7" ht="12" customHeight="1">
      <c r="G769" s="61"/>
    </row>
    <row r="770" spans="7:7" ht="12" customHeight="1">
      <c r="G770" s="61"/>
    </row>
    <row r="771" spans="7:7" ht="12" customHeight="1">
      <c r="G771" s="61"/>
    </row>
    <row r="772" spans="7:7" ht="12" customHeight="1">
      <c r="G772" s="61"/>
    </row>
    <row r="773" spans="7:7" ht="12" customHeight="1">
      <c r="G773" s="61"/>
    </row>
    <row r="774" spans="7:7" ht="12" customHeight="1">
      <c r="G774" s="61"/>
    </row>
    <row r="775" spans="7:7" ht="12" customHeight="1">
      <c r="G775" s="61"/>
    </row>
    <row r="776" spans="7:7" ht="12" customHeight="1">
      <c r="G776" s="61"/>
    </row>
    <row r="777" spans="7:7" ht="12" customHeight="1">
      <c r="G777" s="61"/>
    </row>
    <row r="778" spans="7:7" ht="12" customHeight="1">
      <c r="G778" s="61"/>
    </row>
    <row r="779" spans="7:7" ht="12" customHeight="1">
      <c r="G779" s="61"/>
    </row>
    <row r="780" spans="7:7" ht="12" customHeight="1">
      <c r="G780" s="61"/>
    </row>
    <row r="781" spans="7:7" ht="12" customHeight="1">
      <c r="G781" s="61"/>
    </row>
    <row r="782" spans="7:7" ht="12" customHeight="1">
      <c r="G782" s="61"/>
    </row>
    <row r="783" spans="7:7" ht="12" customHeight="1">
      <c r="G783" s="61"/>
    </row>
    <row r="784" spans="7:7" ht="12" customHeight="1">
      <c r="G784" s="61"/>
    </row>
    <row r="785" spans="7:7" ht="12" customHeight="1">
      <c r="G785" s="61"/>
    </row>
    <row r="786" spans="7:7" ht="12" customHeight="1">
      <c r="G786" s="61"/>
    </row>
    <row r="787" spans="7:7" ht="12" customHeight="1">
      <c r="G787" s="61"/>
    </row>
    <row r="788" spans="7:7" ht="12" customHeight="1">
      <c r="G788" s="61"/>
    </row>
    <row r="789" spans="7:7" ht="12" customHeight="1">
      <c r="G789" s="61"/>
    </row>
    <row r="790" spans="7:7" ht="12" customHeight="1">
      <c r="G790" s="61"/>
    </row>
    <row r="791" spans="7:7" ht="12" customHeight="1">
      <c r="G791" s="61"/>
    </row>
    <row r="792" spans="7:7" ht="12" customHeight="1">
      <c r="G792" s="61"/>
    </row>
    <row r="793" spans="7:7" ht="12" customHeight="1">
      <c r="G793" s="61"/>
    </row>
    <row r="794" spans="7:7" ht="12" customHeight="1">
      <c r="G794" s="61"/>
    </row>
    <row r="795" spans="7:7" ht="12" customHeight="1">
      <c r="G795" s="61"/>
    </row>
    <row r="796" spans="7:7" ht="12" customHeight="1">
      <c r="G796" s="61"/>
    </row>
    <row r="797" spans="7:7" ht="12" customHeight="1">
      <c r="G797" s="61"/>
    </row>
    <row r="798" spans="7:7" ht="12" customHeight="1">
      <c r="G798" s="61"/>
    </row>
    <row r="799" spans="7:7" ht="12" customHeight="1">
      <c r="G799" s="61"/>
    </row>
    <row r="800" spans="7:7" ht="12" customHeight="1">
      <c r="G800" s="61"/>
    </row>
    <row r="801" spans="7:7" ht="12" customHeight="1">
      <c r="G801" s="61"/>
    </row>
    <row r="802" spans="7:7" ht="12" customHeight="1">
      <c r="G802" s="61"/>
    </row>
    <row r="803" spans="7:7" ht="12" customHeight="1">
      <c r="G803" s="61"/>
    </row>
    <row r="804" spans="7:7" ht="12" customHeight="1">
      <c r="G804" s="61"/>
    </row>
    <row r="805" spans="7:7" ht="12" customHeight="1">
      <c r="G805" s="61"/>
    </row>
    <row r="806" spans="7:7" ht="12" customHeight="1">
      <c r="G806" s="61"/>
    </row>
    <row r="807" spans="7:7" ht="12" customHeight="1">
      <c r="G807" s="61"/>
    </row>
    <row r="808" spans="7:7" ht="12" customHeight="1">
      <c r="G808" s="61"/>
    </row>
    <row r="809" spans="7:7" ht="12" customHeight="1">
      <c r="G809" s="61"/>
    </row>
    <row r="810" spans="7:7" ht="12" customHeight="1">
      <c r="G810" s="61"/>
    </row>
    <row r="811" spans="7:7" ht="12" customHeight="1">
      <c r="G811" s="61"/>
    </row>
    <row r="812" spans="7:7" ht="12" customHeight="1">
      <c r="G812" s="61"/>
    </row>
    <row r="813" spans="7:7" ht="12" customHeight="1">
      <c r="G813" s="61"/>
    </row>
    <row r="814" spans="7:7" ht="12" customHeight="1">
      <c r="G814" s="61"/>
    </row>
    <row r="815" spans="7:7" ht="12" customHeight="1">
      <c r="G815" s="61"/>
    </row>
    <row r="816" spans="7:7" ht="12" customHeight="1">
      <c r="G816" s="61"/>
    </row>
    <row r="817" spans="7:7" ht="12" customHeight="1">
      <c r="G817" s="61"/>
    </row>
    <row r="818" spans="7:7" ht="12" customHeight="1">
      <c r="G818" s="61"/>
    </row>
    <row r="819" spans="7:7" ht="12" customHeight="1">
      <c r="G819" s="61"/>
    </row>
    <row r="820" spans="7:7" ht="12" customHeight="1">
      <c r="G820" s="61"/>
    </row>
    <row r="821" spans="7:7" ht="12" customHeight="1">
      <c r="G821" s="61"/>
    </row>
    <row r="822" spans="7:7" ht="12" customHeight="1">
      <c r="G822" s="61"/>
    </row>
    <row r="823" spans="7:7" ht="12" customHeight="1">
      <c r="G823" s="61"/>
    </row>
    <row r="824" spans="7:7" ht="12" customHeight="1">
      <c r="G824" s="61"/>
    </row>
    <row r="825" spans="7:7" ht="12" customHeight="1">
      <c r="G825" s="61"/>
    </row>
    <row r="826" spans="7:7" ht="12" customHeight="1">
      <c r="G826" s="61"/>
    </row>
    <row r="827" spans="7:7" ht="12" customHeight="1">
      <c r="G827" s="61"/>
    </row>
    <row r="828" spans="7:7" ht="12" customHeight="1">
      <c r="G828" s="61"/>
    </row>
    <row r="829" spans="7:7" ht="12" customHeight="1">
      <c r="G829" s="61"/>
    </row>
    <row r="830" spans="7:7" ht="12" customHeight="1">
      <c r="G830" s="61"/>
    </row>
    <row r="831" spans="7:7" ht="12" customHeight="1">
      <c r="G831" s="61"/>
    </row>
    <row r="832" spans="7:7" ht="12" customHeight="1">
      <c r="G832" s="61"/>
    </row>
    <row r="833" spans="7:7" ht="12" customHeight="1">
      <c r="G833" s="61"/>
    </row>
    <row r="834" spans="7:7" ht="12" customHeight="1">
      <c r="G834" s="61"/>
    </row>
    <row r="835" spans="7:7" ht="12" customHeight="1">
      <c r="G835" s="61"/>
    </row>
    <row r="836" spans="7:7" ht="12" customHeight="1">
      <c r="G836" s="61"/>
    </row>
    <row r="837" spans="7:7" ht="12" customHeight="1">
      <c r="G837" s="61"/>
    </row>
    <row r="838" spans="7:7" ht="12" customHeight="1">
      <c r="G838" s="61"/>
    </row>
    <row r="839" spans="7:7" ht="12" customHeight="1">
      <c r="G839" s="61"/>
    </row>
    <row r="840" spans="7:7" ht="12" customHeight="1">
      <c r="G840" s="61"/>
    </row>
    <row r="841" spans="7:7" ht="12" customHeight="1">
      <c r="G841" s="61"/>
    </row>
    <row r="842" spans="7:7" ht="12" customHeight="1">
      <c r="G842" s="61"/>
    </row>
    <row r="843" spans="7:7" ht="12" customHeight="1">
      <c r="G843" s="61"/>
    </row>
    <row r="844" spans="7:7" ht="12" customHeight="1">
      <c r="G844" s="61"/>
    </row>
    <row r="845" spans="7:7" ht="12" customHeight="1">
      <c r="G845" s="61"/>
    </row>
    <row r="846" spans="7:7" ht="12" customHeight="1">
      <c r="G846" s="61"/>
    </row>
    <row r="847" spans="7:7" ht="12" customHeight="1">
      <c r="G847" s="61"/>
    </row>
    <row r="848" spans="7:7" ht="12" customHeight="1">
      <c r="G848" s="61"/>
    </row>
    <row r="849" spans="7:7" ht="12" customHeight="1">
      <c r="G849" s="61"/>
    </row>
    <row r="850" spans="7:7" ht="12" customHeight="1">
      <c r="G850" s="61"/>
    </row>
    <row r="851" spans="7:7" ht="12" customHeight="1">
      <c r="G851" s="61"/>
    </row>
    <row r="852" spans="7:7" ht="12" customHeight="1">
      <c r="G852" s="61"/>
    </row>
    <row r="853" spans="7:7" ht="12" customHeight="1">
      <c r="G853" s="61"/>
    </row>
    <row r="854" spans="7:7" ht="12" customHeight="1">
      <c r="G854" s="61"/>
    </row>
    <row r="855" spans="7:7" ht="12" customHeight="1">
      <c r="G855" s="61"/>
    </row>
    <row r="856" spans="7:7" ht="12" customHeight="1">
      <c r="G856" s="61"/>
    </row>
    <row r="857" spans="7:7" ht="12" customHeight="1">
      <c r="G857" s="61"/>
    </row>
    <row r="858" spans="7:7" ht="12" customHeight="1">
      <c r="G858" s="61"/>
    </row>
    <row r="859" spans="7:7" ht="12" customHeight="1">
      <c r="G859" s="61"/>
    </row>
    <row r="860" spans="7:7" ht="12" customHeight="1">
      <c r="G860" s="61"/>
    </row>
    <row r="861" spans="7:7" ht="12" customHeight="1">
      <c r="G861" s="61"/>
    </row>
    <row r="862" spans="7:7" ht="12" customHeight="1">
      <c r="G862" s="61"/>
    </row>
    <row r="863" spans="7:7" ht="12" customHeight="1">
      <c r="G863" s="61"/>
    </row>
    <row r="864" spans="7:7" ht="12" customHeight="1">
      <c r="G864" s="61"/>
    </row>
    <row r="865" spans="7:7" ht="12" customHeight="1">
      <c r="G865" s="61"/>
    </row>
    <row r="866" spans="7:7" ht="12" customHeight="1">
      <c r="G866" s="61"/>
    </row>
    <row r="867" spans="7:7" ht="12" customHeight="1">
      <c r="G867" s="61"/>
    </row>
    <row r="868" spans="7:7" ht="12" customHeight="1">
      <c r="G868" s="61"/>
    </row>
    <row r="869" spans="7:7" ht="12" customHeight="1">
      <c r="G869" s="61"/>
    </row>
    <row r="870" spans="7:7" ht="12" customHeight="1">
      <c r="G870" s="61"/>
    </row>
    <row r="871" spans="7:7" ht="12" customHeight="1">
      <c r="G871" s="61"/>
    </row>
    <row r="872" spans="7:7" ht="12" customHeight="1">
      <c r="G872" s="61"/>
    </row>
    <row r="873" spans="7:7" ht="12" customHeight="1">
      <c r="G873" s="61"/>
    </row>
    <row r="874" spans="7:7" ht="12" customHeight="1">
      <c r="G874" s="61"/>
    </row>
    <row r="875" spans="7:7" ht="12" customHeight="1">
      <c r="G875" s="61"/>
    </row>
    <row r="876" spans="7:7" ht="12" customHeight="1">
      <c r="G876" s="61"/>
    </row>
    <row r="877" spans="7:7" ht="12" customHeight="1">
      <c r="G877" s="61"/>
    </row>
    <row r="878" spans="7:7" ht="12" customHeight="1">
      <c r="G878" s="61"/>
    </row>
    <row r="879" spans="7:7" ht="12" customHeight="1">
      <c r="G879" s="61"/>
    </row>
    <row r="880" spans="7:7" ht="12" customHeight="1">
      <c r="G880" s="61"/>
    </row>
    <row r="881" spans="7:7" ht="12" customHeight="1">
      <c r="G881" s="61"/>
    </row>
    <row r="882" spans="7:7" ht="12" customHeight="1">
      <c r="G882" s="61"/>
    </row>
    <row r="883" spans="7:7" ht="12" customHeight="1">
      <c r="G883" s="61"/>
    </row>
    <row r="884" spans="7:7" ht="12" customHeight="1">
      <c r="G884" s="61"/>
    </row>
    <row r="885" spans="7:7" ht="12" customHeight="1">
      <c r="G885" s="61"/>
    </row>
    <row r="886" spans="7:7" ht="12" customHeight="1">
      <c r="G886" s="61"/>
    </row>
    <row r="887" spans="7:7" ht="12" customHeight="1">
      <c r="G887" s="61"/>
    </row>
    <row r="888" spans="7:7" ht="12" customHeight="1">
      <c r="G888" s="61"/>
    </row>
    <row r="889" spans="7:7" ht="12" customHeight="1">
      <c r="G889" s="61"/>
    </row>
    <row r="890" spans="7:7" ht="12" customHeight="1">
      <c r="G890" s="61"/>
    </row>
    <row r="891" spans="7:7" ht="12" customHeight="1">
      <c r="G891" s="61"/>
    </row>
    <row r="892" spans="7:7" ht="12" customHeight="1">
      <c r="G892" s="61"/>
    </row>
    <row r="893" spans="7:7" ht="12" customHeight="1">
      <c r="G893" s="61"/>
    </row>
    <row r="894" spans="7:7" ht="12" customHeight="1">
      <c r="G894" s="61"/>
    </row>
    <row r="895" spans="7:7" ht="12" customHeight="1">
      <c r="G895" s="61"/>
    </row>
    <row r="896" spans="7:7" ht="12" customHeight="1">
      <c r="G896" s="61"/>
    </row>
    <row r="897" spans="7:7" ht="12" customHeight="1">
      <c r="G897" s="61"/>
    </row>
    <row r="898" spans="7:7" ht="12" customHeight="1">
      <c r="G898" s="61"/>
    </row>
    <row r="899" spans="7:7" ht="12" customHeight="1">
      <c r="G899" s="61"/>
    </row>
    <row r="900" spans="7:7" ht="12" customHeight="1">
      <c r="G900" s="61"/>
    </row>
    <row r="901" spans="7:7" ht="12" customHeight="1">
      <c r="G901" s="61"/>
    </row>
    <row r="902" spans="7:7" ht="12" customHeight="1">
      <c r="G902" s="61"/>
    </row>
    <row r="903" spans="7:7" ht="12" customHeight="1">
      <c r="G903" s="61"/>
    </row>
    <row r="904" spans="7:7" ht="12" customHeight="1">
      <c r="G904" s="61"/>
    </row>
    <row r="905" spans="7:7" ht="12" customHeight="1">
      <c r="G905" s="61"/>
    </row>
    <row r="906" spans="7:7" ht="12" customHeight="1">
      <c r="G906" s="61"/>
    </row>
    <row r="907" spans="7:7" ht="12" customHeight="1">
      <c r="G907" s="61"/>
    </row>
    <row r="908" spans="7:7" ht="12" customHeight="1">
      <c r="G908" s="61"/>
    </row>
    <row r="909" spans="7:7" ht="12" customHeight="1">
      <c r="G909" s="61"/>
    </row>
    <row r="910" spans="7:7" ht="12" customHeight="1">
      <c r="G910" s="61"/>
    </row>
    <row r="911" spans="7:7" ht="12" customHeight="1">
      <c r="G911" s="61"/>
    </row>
    <row r="912" spans="7:7" ht="12" customHeight="1">
      <c r="G912" s="61"/>
    </row>
    <row r="913" spans="7:7" ht="12" customHeight="1">
      <c r="G913" s="61"/>
    </row>
    <row r="914" spans="7:7" ht="12" customHeight="1">
      <c r="G914" s="61"/>
    </row>
    <row r="915" spans="7:7" ht="12" customHeight="1">
      <c r="G915" s="61"/>
    </row>
    <row r="916" spans="7:7" ht="12" customHeight="1">
      <c r="G916" s="61"/>
    </row>
    <row r="917" spans="7:7" ht="12" customHeight="1">
      <c r="G917" s="61"/>
    </row>
    <row r="918" spans="7:7" ht="12" customHeight="1">
      <c r="G918" s="61"/>
    </row>
    <row r="919" spans="7:7" ht="12" customHeight="1">
      <c r="G919" s="61"/>
    </row>
    <row r="920" spans="7:7" ht="12" customHeight="1">
      <c r="G920" s="61"/>
    </row>
    <row r="921" spans="7:7" ht="12" customHeight="1">
      <c r="G921" s="61"/>
    </row>
    <row r="922" spans="7:7" ht="12" customHeight="1">
      <c r="G922" s="61"/>
    </row>
    <row r="923" spans="7:7" ht="12" customHeight="1">
      <c r="G923" s="61"/>
    </row>
    <row r="924" spans="7:7" ht="12" customHeight="1">
      <c r="G924" s="61"/>
    </row>
    <row r="925" spans="7:7" ht="12" customHeight="1">
      <c r="G925" s="61"/>
    </row>
    <row r="926" spans="7:7" ht="12" customHeight="1">
      <c r="G926" s="61"/>
    </row>
    <row r="927" spans="7:7" ht="12" customHeight="1">
      <c r="G927" s="61"/>
    </row>
    <row r="928" spans="7:7" ht="12" customHeight="1">
      <c r="G928" s="61"/>
    </row>
    <row r="929" spans="7:7" ht="12" customHeight="1">
      <c r="G929" s="61"/>
    </row>
    <row r="930" spans="7:7" ht="12" customHeight="1">
      <c r="G930" s="61"/>
    </row>
    <row r="931" spans="7:7" ht="12" customHeight="1">
      <c r="G931" s="61"/>
    </row>
    <row r="932" spans="7:7" ht="12" customHeight="1">
      <c r="G932" s="61"/>
    </row>
    <row r="933" spans="7:7" ht="12" customHeight="1">
      <c r="G933" s="61"/>
    </row>
    <row r="934" spans="7:7" ht="12" customHeight="1">
      <c r="G934" s="61"/>
    </row>
    <row r="935" spans="7:7" ht="12" customHeight="1">
      <c r="G935" s="61"/>
    </row>
    <row r="936" spans="7:7" ht="12" customHeight="1">
      <c r="G936" s="61"/>
    </row>
    <row r="937" spans="7:7" ht="12" customHeight="1">
      <c r="G937" s="61"/>
    </row>
    <row r="938" spans="7:7" ht="12" customHeight="1">
      <c r="G938" s="61"/>
    </row>
    <row r="939" spans="7:7" ht="12" customHeight="1">
      <c r="G939" s="61"/>
    </row>
    <row r="940" spans="7:7" ht="12" customHeight="1">
      <c r="G940" s="61"/>
    </row>
    <row r="941" spans="7:7" ht="12" customHeight="1">
      <c r="G941" s="61"/>
    </row>
    <row r="942" spans="7:7" ht="12" customHeight="1">
      <c r="G942" s="61"/>
    </row>
    <row r="943" spans="7:7" ht="12" customHeight="1">
      <c r="G943" s="61"/>
    </row>
    <row r="944" spans="7:7" ht="12" customHeight="1">
      <c r="G944" s="61"/>
    </row>
    <row r="945" spans="7:7" ht="12" customHeight="1">
      <c r="G945" s="61"/>
    </row>
    <row r="946" spans="7:7" ht="12" customHeight="1">
      <c r="G946" s="61"/>
    </row>
    <row r="947" spans="7:7" ht="12" customHeight="1">
      <c r="G947" s="61"/>
    </row>
    <row r="948" spans="7:7" ht="12" customHeight="1">
      <c r="G948" s="61"/>
    </row>
    <row r="949" spans="7:7" ht="12" customHeight="1">
      <c r="G949" s="61"/>
    </row>
    <row r="950" spans="7:7" ht="12" customHeight="1">
      <c r="G950" s="61"/>
    </row>
    <row r="951" spans="7:7" ht="12" customHeight="1">
      <c r="G951" s="61"/>
    </row>
    <row r="952" spans="7:7" ht="12" customHeight="1">
      <c r="G952" s="61"/>
    </row>
    <row r="953" spans="7:7" ht="12" customHeight="1">
      <c r="G953" s="61"/>
    </row>
    <row r="954" spans="7:7" ht="12" customHeight="1">
      <c r="G954" s="61"/>
    </row>
    <row r="955" spans="7:7" ht="12" customHeight="1">
      <c r="G955" s="61"/>
    </row>
    <row r="956" spans="7:7" ht="12" customHeight="1">
      <c r="G956" s="61"/>
    </row>
    <row r="957" spans="7:7" ht="12" customHeight="1">
      <c r="G957" s="61"/>
    </row>
    <row r="958" spans="7:7" ht="12" customHeight="1">
      <c r="G958" s="61"/>
    </row>
    <row r="959" spans="7:7" ht="12" customHeight="1">
      <c r="G959" s="61"/>
    </row>
    <row r="960" spans="7:7" ht="12" customHeight="1">
      <c r="G960" s="61"/>
    </row>
    <row r="961" spans="7:7" ht="12" customHeight="1">
      <c r="G961" s="61"/>
    </row>
    <row r="962" spans="7:7" ht="12" customHeight="1">
      <c r="G962" s="61"/>
    </row>
    <row r="963" spans="7:7" ht="12" customHeight="1">
      <c r="G963" s="61"/>
    </row>
    <row r="964" spans="7:7" ht="12" customHeight="1">
      <c r="G964" s="61"/>
    </row>
    <row r="965" spans="7:7" ht="12" customHeight="1">
      <c r="G965" s="61"/>
    </row>
    <row r="966" spans="7:7" ht="12" customHeight="1">
      <c r="G966" s="61"/>
    </row>
    <row r="967" spans="7:7" ht="12" customHeight="1">
      <c r="G967" s="61"/>
    </row>
    <row r="968" spans="7:7" ht="12" customHeight="1">
      <c r="G968" s="61"/>
    </row>
    <row r="969" spans="7:7" ht="12" customHeight="1">
      <c r="G969" s="61"/>
    </row>
    <row r="970" spans="7:7" ht="12" customHeight="1">
      <c r="G970" s="61"/>
    </row>
    <row r="971" spans="7:7" ht="12" customHeight="1">
      <c r="G971" s="61"/>
    </row>
    <row r="972" spans="7:7" ht="12" customHeight="1">
      <c r="G972" s="61"/>
    </row>
    <row r="973" spans="7:7" ht="12" customHeight="1">
      <c r="G973" s="61"/>
    </row>
    <row r="974" spans="7:7" ht="12" customHeight="1">
      <c r="G974" s="61"/>
    </row>
    <row r="975" spans="7:7" ht="12" customHeight="1">
      <c r="G975" s="61"/>
    </row>
    <row r="976" spans="7:7" ht="12" customHeight="1">
      <c r="G976" s="61"/>
    </row>
    <row r="977" spans="7:7" ht="12" customHeight="1">
      <c r="G977" s="61"/>
    </row>
    <row r="978" spans="7:7" ht="12" customHeight="1">
      <c r="G978" s="61"/>
    </row>
    <row r="979" spans="7:7" ht="12" customHeight="1">
      <c r="G979" s="61"/>
    </row>
    <row r="980" spans="7:7" ht="12" customHeight="1">
      <c r="G980" s="61"/>
    </row>
    <row r="981" spans="7:7" ht="12" customHeight="1">
      <c r="G981" s="61"/>
    </row>
    <row r="982" spans="7:7" ht="12" customHeight="1">
      <c r="G982" s="61"/>
    </row>
    <row r="983" spans="7:7" ht="12" customHeight="1">
      <c r="G983" s="61"/>
    </row>
    <row r="984" spans="7:7" ht="12" customHeight="1">
      <c r="G984" s="61"/>
    </row>
    <row r="985" spans="7:7" ht="12" customHeight="1">
      <c r="G985" s="61"/>
    </row>
    <row r="986" spans="7:7" ht="12" customHeight="1">
      <c r="G986" s="61"/>
    </row>
    <row r="987" spans="7:7" ht="12" customHeight="1">
      <c r="G987" s="61"/>
    </row>
    <row r="988" spans="7:7" ht="12" customHeight="1">
      <c r="G988" s="61"/>
    </row>
    <row r="989" spans="7:7" ht="12" customHeight="1">
      <c r="G989" s="61"/>
    </row>
    <row r="990" spans="7:7" ht="12" customHeight="1">
      <c r="G990" s="61"/>
    </row>
    <row r="991" spans="7:7" ht="12" customHeight="1">
      <c r="G991" s="61"/>
    </row>
    <row r="992" spans="7:7" ht="12" customHeight="1">
      <c r="G992" s="61"/>
    </row>
    <row r="993" spans="7:7" ht="12" customHeight="1">
      <c r="G993" s="61"/>
    </row>
    <row r="994" spans="7:7" ht="12" customHeight="1">
      <c r="G994" s="61"/>
    </row>
  </sheetData>
  <mergeCells count="99">
    <mergeCell ref="B99:B100"/>
    <mergeCell ref="D100:N100"/>
    <mergeCell ref="B93:B94"/>
    <mergeCell ref="D94:N94"/>
    <mergeCell ref="B95:B96"/>
    <mergeCell ref="D96:N96"/>
    <mergeCell ref="B97:B98"/>
    <mergeCell ref="D98:N98"/>
    <mergeCell ref="B87:B88"/>
    <mergeCell ref="D88:N88"/>
    <mergeCell ref="B89:B90"/>
    <mergeCell ref="D90:N90"/>
    <mergeCell ref="B91:B92"/>
    <mergeCell ref="D92:N92"/>
    <mergeCell ref="B81:B82"/>
    <mergeCell ref="D82:N82"/>
    <mergeCell ref="B83:B84"/>
    <mergeCell ref="D84:N84"/>
    <mergeCell ref="B85:B86"/>
    <mergeCell ref="D86:N86"/>
    <mergeCell ref="B75:B76"/>
    <mergeCell ref="D76:N76"/>
    <mergeCell ref="B77:B78"/>
    <mergeCell ref="D78:N78"/>
    <mergeCell ref="B79:B80"/>
    <mergeCell ref="D80:N80"/>
    <mergeCell ref="B39:B40"/>
    <mergeCell ref="B41:B42"/>
    <mergeCell ref="B43:B44"/>
    <mergeCell ref="D72:N72"/>
    <mergeCell ref="D74:N74"/>
    <mergeCell ref="B63:B64"/>
    <mergeCell ref="B65:B66"/>
    <mergeCell ref="B67:B68"/>
    <mergeCell ref="B69:B70"/>
    <mergeCell ref="D70:N70"/>
    <mergeCell ref="B71:B72"/>
    <mergeCell ref="B73:B74"/>
    <mergeCell ref="D66:N66"/>
    <mergeCell ref="D68:N68"/>
    <mergeCell ref="B53:B54"/>
    <mergeCell ref="B55:B56"/>
    <mergeCell ref="D32:N32"/>
    <mergeCell ref="B31:B32"/>
    <mergeCell ref="B33:B34"/>
    <mergeCell ref="B35:B36"/>
    <mergeCell ref="B37:B38"/>
    <mergeCell ref="B25:B26"/>
    <mergeCell ref="B27:B28"/>
    <mergeCell ref="B29:B30"/>
    <mergeCell ref="D20:N20"/>
    <mergeCell ref="D22:N22"/>
    <mergeCell ref="D24:N24"/>
    <mergeCell ref="D26:N26"/>
    <mergeCell ref="D28:G28"/>
    <mergeCell ref="D30:N30"/>
    <mergeCell ref="D18:N18"/>
    <mergeCell ref="B17:B18"/>
    <mergeCell ref="B19:B20"/>
    <mergeCell ref="B21:B22"/>
    <mergeCell ref="B23:B24"/>
    <mergeCell ref="B11:B12"/>
    <mergeCell ref="D12:N12"/>
    <mergeCell ref="B13:B14"/>
    <mergeCell ref="D14:N14"/>
    <mergeCell ref="B15:B16"/>
    <mergeCell ref="D16:N16"/>
    <mergeCell ref="D8:N8"/>
    <mergeCell ref="D10:N10"/>
    <mergeCell ref="B1:D1"/>
    <mergeCell ref="C3:D3"/>
    <mergeCell ref="E5:F5"/>
    <mergeCell ref="G5:I5"/>
    <mergeCell ref="J5:N5"/>
    <mergeCell ref="B7:B8"/>
    <mergeCell ref="B9:B10"/>
    <mergeCell ref="B57:B58"/>
    <mergeCell ref="B59:B60"/>
    <mergeCell ref="B61:B62"/>
    <mergeCell ref="D62:N62"/>
    <mergeCell ref="D64:N64"/>
    <mergeCell ref="D58:N58"/>
    <mergeCell ref="D60:N60"/>
    <mergeCell ref="B45:B46"/>
    <mergeCell ref="B47:B48"/>
    <mergeCell ref="B49:B50"/>
    <mergeCell ref="B51:B52"/>
    <mergeCell ref="D52:N52"/>
    <mergeCell ref="D54:N54"/>
    <mergeCell ref="D56:N56"/>
    <mergeCell ref="D48:N48"/>
    <mergeCell ref="D50:N50"/>
    <mergeCell ref="D34:N34"/>
    <mergeCell ref="D36:N36"/>
    <mergeCell ref="D38:N38"/>
    <mergeCell ref="D40:N40"/>
    <mergeCell ref="D42:N42"/>
    <mergeCell ref="D44:N44"/>
    <mergeCell ref="D46:N46"/>
  </mergeCells>
  <pageMargins left="0.7" right="0.7" top="0.75" bottom="0.75" header="0" footer="0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:N168"/>
  <sheetViews>
    <sheetView zoomScale="85" zoomScaleNormal="85" workbookViewId="0"/>
  </sheetViews>
  <sheetFormatPr baseColWidth="10" defaultColWidth="12.6640625" defaultRowHeight="15" customHeight="1"/>
  <cols>
    <col min="4" max="4" width="22.6640625" customWidth="1"/>
    <col min="6" max="6" width="21.21875" customWidth="1"/>
    <col min="12" max="12" width="17.6640625" customWidth="1"/>
    <col min="14" max="14" width="16.33203125" customWidth="1"/>
  </cols>
  <sheetData>
    <row r="1" spans="1:14" ht="13.2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ht="15" customHeight="1">
      <c r="A2" s="24"/>
      <c r="B2" s="24"/>
      <c r="C2" s="107" t="s">
        <v>48</v>
      </c>
      <c r="D2" s="108"/>
      <c r="E2" s="62"/>
      <c r="F2" s="62"/>
      <c r="G2" s="62"/>
      <c r="H2" s="63"/>
      <c r="I2" s="24"/>
      <c r="J2" s="24"/>
      <c r="K2" s="24"/>
      <c r="L2" s="24"/>
      <c r="M2" s="24"/>
      <c r="N2" s="24"/>
    </row>
    <row r="3" spans="1:14" ht="13.2">
      <c r="A3" s="24"/>
      <c r="B3" s="24"/>
      <c r="C3" s="64">
        <v>10</v>
      </c>
      <c r="D3" s="24" t="s">
        <v>49</v>
      </c>
      <c r="E3" s="65">
        <v>50</v>
      </c>
      <c r="F3" s="24" t="s">
        <v>50</v>
      </c>
      <c r="G3" s="65">
        <v>90</v>
      </c>
      <c r="H3" s="66" t="s">
        <v>51</v>
      </c>
      <c r="I3" s="24"/>
      <c r="J3" s="109" t="s">
        <v>52</v>
      </c>
      <c r="K3" s="110"/>
      <c r="L3" s="26">
        <f>SUM(L14+L21+L28+L35+L42+L49+L56+L62+L68+L74+L80)</f>
        <v>267</v>
      </c>
      <c r="M3" s="24"/>
      <c r="N3" s="24"/>
    </row>
    <row r="4" spans="1:14" ht="13.2">
      <c r="A4" s="24"/>
      <c r="B4" s="24"/>
      <c r="C4" s="64">
        <v>20</v>
      </c>
      <c r="D4" s="24" t="s">
        <v>53</v>
      </c>
      <c r="E4" s="65">
        <v>60</v>
      </c>
      <c r="F4" s="24" t="s">
        <v>54</v>
      </c>
      <c r="G4" s="65">
        <v>100</v>
      </c>
      <c r="H4" s="66" t="s">
        <v>55</v>
      </c>
      <c r="I4" s="24"/>
      <c r="J4" s="24"/>
      <c r="K4" s="24"/>
      <c r="L4" s="24"/>
      <c r="M4" s="24"/>
      <c r="N4" s="24"/>
    </row>
    <row r="5" spans="1:14" ht="13.2">
      <c r="A5" s="24"/>
      <c r="B5" s="24"/>
      <c r="C5" s="64">
        <v>30</v>
      </c>
      <c r="D5" s="24" t="s">
        <v>56</v>
      </c>
      <c r="E5" s="65">
        <v>70</v>
      </c>
      <c r="F5" s="24" t="s">
        <v>57</v>
      </c>
      <c r="G5" s="24"/>
      <c r="H5" s="66"/>
      <c r="I5" s="24"/>
      <c r="J5" s="24"/>
      <c r="K5" s="24"/>
      <c r="L5" s="24"/>
      <c r="M5" s="24"/>
      <c r="N5" s="24"/>
    </row>
    <row r="6" spans="1:14" ht="13.2">
      <c r="A6" s="24"/>
      <c r="B6" s="24"/>
      <c r="C6" s="67">
        <v>40</v>
      </c>
      <c r="D6" s="58" t="s">
        <v>58</v>
      </c>
      <c r="E6" s="68">
        <v>80</v>
      </c>
      <c r="F6" s="58" t="s">
        <v>59</v>
      </c>
      <c r="G6" s="58"/>
      <c r="H6" s="43"/>
      <c r="I6" s="24"/>
      <c r="J6" s="24"/>
      <c r="K6" s="24"/>
      <c r="L6" s="24"/>
      <c r="M6" s="24"/>
      <c r="N6" s="24"/>
    </row>
    <row r="7" spans="1:14" ht="13.2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</row>
    <row r="8" spans="1:14" ht="13.8">
      <c r="A8" s="24"/>
      <c r="B8" s="69" t="s">
        <v>60</v>
      </c>
      <c r="C8" s="111" t="s">
        <v>129</v>
      </c>
      <c r="D8" s="110"/>
      <c r="E8" s="110"/>
      <c r="F8" s="110"/>
      <c r="G8" s="70"/>
      <c r="H8" s="70"/>
      <c r="I8" s="70"/>
      <c r="J8" s="69" t="s">
        <v>5</v>
      </c>
      <c r="K8" s="112">
        <v>45693</v>
      </c>
      <c r="L8" s="110"/>
      <c r="M8" s="24"/>
      <c r="N8" s="24"/>
    </row>
    <row r="9" spans="1:14" ht="13.8">
      <c r="A9" s="24"/>
      <c r="B9" s="69" t="s">
        <v>61</v>
      </c>
      <c r="C9" s="111" t="s">
        <v>62</v>
      </c>
      <c r="D9" s="110"/>
      <c r="E9" s="110"/>
      <c r="F9" s="110"/>
      <c r="G9" s="70"/>
      <c r="H9" s="70"/>
      <c r="I9" s="70"/>
      <c r="J9" s="69" t="s">
        <v>63</v>
      </c>
      <c r="K9" s="113" t="s">
        <v>130</v>
      </c>
      <c r="L9" s="110"/>
      <c r="M9" s="110"/>
      <c r="N9" s="110"/>
    </row>
    <row r="10" spans="1:14" ht="13.2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</row>
    <row r="11" spans="1:14" ht="13.2">
      <c r="A11" s="24"/>
      <c r="B11" s="71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3"/>
    </row>
    <row r="12" spans="1:14" ht="13.2">
      <c r="A12" s="72"/>
      <c r="B12" s="73" t="s">
        <v>5</v>
      </c>
      <c r="C12" s="72"/>
      <c r="D12" s="74" t="s">
        <v>64</v>
      </c>
      <c r="E12" s="72"/>
      <c r="F12" s="74" t="s">
        <v>65</v>
      </c>
      <c r="G12" s="72"/>
      <c r="H12" s="74" t="s">
        <v>66</v>
      </c>
      <c r="I12" s="72"/>
      <c r="J12" s="74" t="s">
        <v>67</v>
      </c>
      <c r="K12" s="72"/>
      <c r="L12" s="74" t="s">
        <v>68</v>
      </c>
      <c r="M12" s="72"/>
      <c r="N12" s="75" t="s">
        <v>69</v>
      </c>
    </row>
    <row r="13" spans="1:14" ht="13.2">
      <c r="A13" s="24"/>
      <c r="B13" s="52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66"/>
    </row>
    <row r="14" spans="1:14" ht="13.2">
      <c r="A14" s="24"/>
      <c r="B14" s="76">
        <v>45695</v>
      </c>
      <c r="C14" s="24"/>
      <c r="D14" s="77">
        <v>1</v>
      </c>
      <c r="E14" s="24"/>
      <c r="F14" s="77">
        <v>90</v>
      </c>
      <c r="G14" s="24"/>
      <c r="H14" s="78" t="s">
        <v>74</v>
      </c>
      <c r="I14" s="24"/>
      <c r="J14" s="78" t="s">
        <v>46</v>
      </c>
      <c r="K14" s="24"/>
      <c r="L14" s="77">
        <v>15</v>
      </c>
      <c r="M14" s="24"/>
      <c r="N14" s="78" t="s">
        <v>70</v>
      </c>
    </row>
    <row r="15" spans="1:14" ht="13.2">
      <c r="A15" s="24"/>
      <c r="B15" s="52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66"/>
    </row>
    <row r="16" spans="1:14" ht="13.2">
      <c r="A16" s="24"/>
      <c r="B16" s="79" t="s">
        <v>71</v>
      </c>
      <c r="C16" s="114" t="s">
        <v>247</v>
      </c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6"/>
    </row>
    <row r="17" spans="1:14" ht="13.2">
      <c r="A17" s="24"/>
      <c r="B17" s="80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43"/>
    </row>
    <row r="18" spans="1:14" ht="13.2">
      <c r="A18" s="24"/>
      <c r="B18" s="52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66"/>
    </row>
    <row r="19" spans="1:14" ht="13.2">
      <c r="A19" s="72"/>
      <c r="B19" s="73" t="s">
        <v>5</v>
      </c>
      <c r="C19" s="72"/>
      <c r="D19" s="74" t="s">
        <v>64</v>
      </c>
      <c r="E19" s="72"/>
      <c r="F19" s="74" t="s">
        <v>65</v>
      </c>
      <c r="G19" s="72"/>
      <c r="H19" s="74" t="s">
        <v>66</v>
      </c>
      <c r="I19" s="72"/>
      <c r="J19" s="74" t="s">
        <v>67</v>
      </c>
      <c r="K19" s="72"/>
      <c r="L19" s="74" t="s">
        <v>72</v>
      </c>
      <c r="M19" s="72"/>
      <c r="N19" s="75" t="s">
        <v>69</v>
      </c>
    </row>
    <row r="20" spans="1:14" ht="13.2">
      <c r="A20" s="24"/>
      <c r="B20" s="52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66"/>
    </row>
    <row r="21" spans="1:14" ht="13.2">
      <c r="A21" s="24"/>
      <c r="B21" s="76">
        <v>45695</v>
      </c>
      <c r="C21" s="24"/>
      <c r="D21" s="77">
        <v>2</v>
      </c>
      <c r="E21" s="24"/>
      <c r="F21" s="77">
        <v>90</v>
      </c>
      <c r="G21" s="24"/>
      <c r="H21" s="78" t="s">
        <v>74</v>
      </c>
      <c r="I21" s="24"/>
      <c r="J21" s="78" t="s">
        <v>46</v>
      </c>
      <c r="K21" s="24"/>
      <c r="L21" s="77">
        <v>20</v>
      </c>
      <c r="M21" s="24"/>
      <c r="N21" s="78" t="s">
        <v>70</v>
      </c>
    </row>
    <row r="22" spans="1:14" ht="13.2">
      <c r="A22" s="24"/>
      <c r="B22" s="52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66"/>
    </row>
    <row r="23" spans="1:14" ht="13.2">
      <c r="A23" s="24"/>
      <c r="B23" s="79" t="s">
        <v>71</v>
      </c>
      <c r="C23" s="114" t="s">
        <v>248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6"/>
    </row>
    <row r="24" spans="1:14" ht="13.2">
      <c r="A24" s="24"/>
      <c r="B24" s="80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43"/>
    </row>
    <row r="25" spans="1:14" ht="13.2">
      <c r="A25" s="24"/>
      <c r="B25" s="52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66"/>
    </row>
    <row r="26" spans="1:14" ht="13.2">
      <c r="A26" s="72"/>
      <c r="B26" s="73" t="s">
        <v>5</v>
      </c>
      <c r="C26" s="72"/>
      <c r="D26" s="74" t="s">
        <v>64</v>
      </c>
      <c r="E26" s="72"/>
      <c r="F26" s="74" t="s">
        <v>65</v>
      </c>
      <c r="G26" s="72"/>
      <c r="H26" s="74" t="s">
        <v>66</v>
      </c>
      <c r="I26" s="72"/>
      <c r="J26" s="74" t="s">
        <v>67</v>
      </c>
      <c r="K26" s="72"/>
      <c r="L26" s="74" t="s">
        <v>72</v>
      </c>
      <c r="M26" s="72"/>
      <c r="N26" s="75" t="s">
        <v>69</v>
      </c>
    </row>
    <row r="27" spans="1:14" ht="13.2">
      <c r="A27" s="24"/>
      <c r="B27" s="52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66"/>
    </row>
    <row r="28" spans="1:14" ht="13.2">
      <c r="A28" s="24"/>
      <c r="B28" s="76">
        <v>45695</v>
      </c>
      <c r="C28" s="24"/>
      <c r="D28" s="77">
        <v>3</v>
      </c>
      <c r="E28" s="24"/>
      <c r="F28" s="77">
        <v>90</v>
      </c>
      <c r="G28" s="24"/>
      <c r="H28" s="78" t="s">
        <v>74</v>
      </c>
      <c r="I28" s="24"/>
      <c r="J28" s="78" t="s">
        <v>46</v>
      </c>
      <c r="K28" s="24"/>
      <c r="L28" s="77">
        <v>25</v>
      </c>
      <c r="M28" s="24"/>
      <c r="N28" s="78" t="s">
        <v>70</v>
      </c>
    </row>
    <row r="29" spans="1:14" ht="13.2">
      <c r="A29" s="24"/>
      <c r="B29" s="52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66"/>
    </row>
    <row r="30" spans="1:14" ht="13.2">
      <c r="A30" s="24"/>
      <c r="B30" s="79" t="s">
        <v>71</v>
      </c>
      <c r="C30" s="114" t="s">
        <v>249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6"/>
    </row>
    <row r="31" spans="1:14" ht="13.2">
      <c r="A31" s="24"/>
      <c r="B31" s="80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43"/>
    </row>
    <row r="32" spans="1:14" ht="13.2">
      <c r="A32" s="24"/>
      <c r="B32" s="52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66"/>
    </row>
    <row r="33" spans="1:14" ht="13.2">
      <c r="A33" s="72"/>
      <c r="B33" s="73" t="s">
        <v>5</v>
      </c>
      <c r="C33" s="72"/>
      <c r="D33" s="74" t="s">
        <v>64</v>
      </c>
      <c r="E33" s="72"/>
      <c r="F33" s="74" t="s">
        <v>65</v>
      </c>
      <c r="G33" s="72"/>
      <c r="H33" s="74" t="s">
        <v>66</v>
      </c>
      <c r="I33" s="72"/>
      <c r="J33" s="74" t="s">
        <v>67</v>
      </c>
      <c r="K33" s="72"/>
      <c r="L33" s="74" t="s">
        <v>72</v>
      </c>
      <c r="M33" s="72"/>
      <c r="N33" s="75" t="s">
        <v>69</v>
      </c>
    </row>
    <row r="34" spans="1:14" ht="13.2">
      <c r="A34" s="24"/>
      <c r="B34" s="52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66"/>
    </row>
    <row r="35" spans="1:14" ht="13.2">
      <c r="A35" s="24"/>
      <c r="B35" s="76">
        <v>45695</v>
      </c>
      <c r="C35" s="24"/>
      <c r="D35" s="77">
        <v>4</v>
      </c>
      <c r="E35" s="24"/>
      <c r="F35" s="77">
        <v>80</v>
      </c>
      <c r="G35" s="24"/>
      <c r="H35" s="78" t="s">
        <v>74</v>
      </c>
      <c r="I35" s="24"/>
      <c r="J35" s="78" t="s">
        <v>73</v>
      </c>
      <c r="K35" s="24"/>
      <c r="L35" s="77">
        <v>25</v>
      </c>
      <c r="M35" s="24"/>
      <c r="N35" s="78" t="s">
        <v>70</v>
      </c>
    </row>
    <row r="36" spans="1:14" ht="13.2">
      <c r="A36" s="24"/>
      <c r="B36" s="52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66"/>
    </row>
    <row r="37" spans="1:14" ht="13.2">
      <c r="A37" s="24"/>
      <c r="B37" s="79" t="s">
        <v>71</v>
      </c>
      <c r="C37" s="114" t="s">
        <v>250</v>
      </c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6"/>
    </row>
    <row r="38" spans="1:14" ht="13.2">
      <c r="A38" s="24"/>
      <c r="B38" s="80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43"/>
    </row>
    <row r="39" spans="1:14" ht="13.2">
      <c r="A39" s="24"/>
      <c r="B39" s="52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66"/>
    </row>
    <row r="40" spans="1:14" ht="13.2">
      <c r="A40" s="72"/>
      <c r="B40" s="73" t="s">
        <v>5</v>
      </c>
      <c r="C40" s="72"/>
      <c r="D40" s="74" t="s">
        <v>64</v>
      </c>
      <c r="E40" s="72"/>
      <c r="F40" s="74" t="s">
        <v>65</v>
      </c>
      <c r="G40" s="72"/>
      <c r="H40" s="74" t="s">
        <v>66</v>
      </c>
      <c r="I40" s="72"/>
      <c r="J40" s="74" t="s">
        <v>67</v>
      </c>
      <c r="K40" s="72"/>
      <c r="L40" s="74" t="s">
        <v>72</v>
      </c>
      <c r="M40" s="72"/>
      <c r="N40" s="75" t="s">
        <v>69</v>
      </c>
    </row>
    <row r="41" spans="1:14" ht="13.2">
      <c r="A41" s="24"/>
      <c r="B41" s="52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66"/>
    </row>
    <row r="42" spans="1:14" ht="13.2">
      <c r="A42" s="24"/>
      <c r="B42" s="76">
        <v>45695</v>
      </c>
      <c r="C42" s="24"/>
      <c r="D42" s="77">
        <v>5</v>
      </c>
      <c r="E42" s="24"/>
      <c r="F42" s="77">
        <v>80</v>
      </c>
      <c r="G42" s="24"/>
      <c r="H42" s="78" t="s">
        <v>74</v>
      </c>
      <c r="I42" s="24"/>
      <c r="J42" s="78" t="s">
        <v>46</v>
      </c>
      <c r="K42" s="24"/>
      <c r="L42" s="77">
        <v>20</v>
      </c>
      <c r="M42" s="24"/>
      <c r="N42" s="78" t="s">
        <v>70</v>
      </c>
    </row>
    <row r="43" spans="1:14" ht="13.2">
      <c r="A43" s="24"/>
      <c r="B43" s="52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66"/>
    </row>
    <row r="44" spans="1:14" ht="13.2">
      <c r="A44" s="24"/>
      <c r="B44" s="79" t="s">
        <v>71</v>
      </c>
      <c r="C44" s="114" t="s">
        <v>251</v>
      </c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6"/>
    </row>
    <row r="45" spans="1:14" ht="13.2">
      <c r="A45" s="24"/>
      <c r="B45" s="80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43"/>
    </row>
    <row r="46" spans="1:14" ht="13.2">
      <c r="A46" s="24"/>
      <c r="B46" s="52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66"/>
    </row>
    <row r="47" spans="1:14" ht="13.2">
      <c r="A47" s="72"/>
      <c r="B47" s="73" t="s">
        <v>5</v>
      </c>
      <c r="C47" s="72"/>
      <c r="D47" s="74" t="s">
        <v>64</v>
      </c>
      <c r="E47" s="72"/>
      <c r="F47" s="74" t="s">
        <v>65</v>
      </c>
      <c r="G47" s="72"/>
      <c r="H47" s="74" t="s">
        <v>66</v>
      </c>
      <c r="I47" s="72"/>
      <c r="J47" s="74" t="s">
        <v>67</v>
      </c>
      <c r="K47" s="72"/>
      <c r="L47" s="74" t="s">
        <v>72</v>
      </c>
      <c r="M47" s="72"/>
      <c r="N47" s="75" t="s">
        <v>69</v>
      </c>
    </row>
    <row r="48" spans="1:14" ht="13.2">
      <c r="A48" s="24"/>
      <c r="B48" s="52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66"/>
    </row>
    <row r="49" spans="1:14" ht="13.2">
      <c r="A49" s="24"/>
      <c r="B49" s="76">
        <v>45695</v>
      </c>
      <c r="C49" s="24"/>
      <c r="D49" s="77">
        <v>6</v>
      </c>
      <c r="E49" s="24"/>
      <c r="F49" s="77">
        <v>80</v>
      </c>
      <c r="G49" s="24"/>
      <c r="H49" s="78" t="s">
        <v>74</v>
      </c>
      <c r="I49" s="24"/>
      <c r="J49" s="78" t="s">
        <v>46</v>
      </c>
      <c r="K49" s="24"/>
      <c r="L49" s="77">
        <v>40</v>
      </c>
      <c r="M49" s="24"/>
      <c r="N49" s="78" t="s">
        <v>70</v>
      </c>
    </row>
    <row r="50" spans="1:14" ht="13.2">
      <c r="A50" s="24"/>
      <c r="B50" s="52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66"/>
    </row>
    <row r="51" spans="1:14" ht="13.2">
      <c r="A51" s="24"/>
      <c r="B51" s="79" t="s">
        <v>71</v>
      </c>
      <c r="C51" s="114" t="s">
        <v>252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6"/>
    </row>
    <row r="52" spans="1:14" ht="13.2">
      <c r="A52" s="24"/>
      <c r="B52" s="80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43"/>
    </row>
    <row r="53" spans="1:14" ht="13.2">
      <c r="A53" s="24"/>
      <c r="B53" s="52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66"/>
    </row>
    <row r="54" spans="1:14" ht="13.2">
      <c r="A54" s="72"/>
      <c r="B54" s="73" t="s">
        <v>5</v>
      </c>
      <c r="C54" s="72"/>
      <c r="D54" s="74" t="s">
        <v>64</v>
      </c>
      <c r="E54" s="72"/>
      <c r="F54" s="74" t="s">
        <v>65</v>
      </c>
      <c r="G54" s="72"/>
      <c r="H54" s="74" t="s">
        <v>66</v>
      </c>
      <c r="I54" s="72"/>
      <c r="J54" s="74" t="s">
        <v>67</v>
      </c>
      <c r="K54" s="72"/>
      <c r="L54" s="74" t="s">
        <v>72</v>
      </c>
      <c r="M54" s="72"/>
      <c r="N54" s="75" t="s">
        <v>69</v>
      </c>
    </row>
    <row r="55" spans="1:14" ht="13.2">
      <c r="A55" s="24"/>
      <c r="B55" s="52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66"/>
    </row>
    <row r="56" spans="1:14" ht="13.2">
      <c r="A56" s="24"/>
      <c r="B56" s="76">
        <v>45695</v>
      </c>
      <c r="C56" s="24"/>
      <c r="D56" s="77">
        <v>7</v>
      </c>
      <c r="E56" s="24"/>
      <c r="F56" s="77">
        <v>80</v>
      </c>
      <c r="G56" s="24"/>
      <c r="H56" s="78" t="s">
        <v>74</v>
      </c>
      <c r="I56" s="24"/>
      <c r="J56" s="78" t="s">
        <v>46</v>
      </c>
      <c r="K56" s="24"/>
      <c r="L56" s="77">
        <v>15</v>
      </c>
      <c r="M56" s="24"/>
      <c r="N56" s="78" t="s">
        <v>70</v>
      </c>
    </row>
    <row r="57" spans="1:14" ht="13.2">
      <c r="A57" s="24"/>
      <c r="B57" s="52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66"/>
    </row>
    <row r="58" spans="1:14" ht="13.2">
      <c r="A58" s="24"/>
      <c r="B58" s="79" t="s">
        <v>71</v>
      </c>
      <c r="C58" s="114" t="s">
        <v>253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6"/>
    </row>
    <row r="59" spans="1:14" ht="13.2">
      <c r="A59" s="24"/>
      <c r="B59" s="80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43"/>
    </row>
    <row r="60" spans="1:14" ht="13.2">
      <c r="A60" s="24"/>
      <c r="B60" s="73" t="s">
        <v>5</v>
      </c>
      <c r="C60" s="72"/>
      <c r="D60" s="74" t="s">
        <v>64</v>
      </c>
      <c r="E60" s="72"/>
      <c r="F60" s="74" t="s">
        <v>65</v>
      </c>
      <c r="G60" s="72"/>
      <c r="H60" s="74" t="s">
        <v>66</v>
      </c>
      <c r="I60" s="72"/>
      <c r="J60" s="74" t="s">
        <v>67</v>
      </c>
      <c r="K60" s="72"/>
      <c r="L60" s="74" t="s">
        <v>72</v>
      </c>
      <c r="M60" s="72"/>
      <c r="N60" s="75" t="s">
        <v>69</v>
      </c>
    </row>
    <row r="61" spans="1:14" ht="13.2">
      <c r="A61" s="24"/>
      <c r="B61" s="52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66"/>
    </row>
    <row r="62" spans="1:14" ht="13.2">
      <c r="A62" s="24"/>
      <c r="B62" s="76">
        <v>45695</v>
      </c>
      <c r="C62" s="24"/>
      <c r="D62" s="77">
        <v>8</v>
      </c>
      <c r="E62" s="24"/>
      <c r="F62" s="77">
        <v>90</v>
      </c>
      <c r="G62" s="24"/>
      <c r="H62" s="78" t="s">
        <v>74</v>
      </c>
      <c r="I62" s="24"/>
      <c r="J62" s="78" t="s">
        <v>46</v>
      </c>
      <c r="K62" s="24"/>
      <c r="L62" s="77">
        <v>30</v>
      </c>
      <c r="M62" s="24"/>
      <c r="N62" s="78" t="s">
        <v>70</v>
      </c>
    </row>
    <row r="63" spans="1:14" ht="13.2">
      <c r="A63" s="24"/>
      <c r="B63" s="52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66"/>
    </row>
    <row r="64" spans="1:14" ht="13.2">
      <c r="A64" s="24"/>
      <c r="B64" s="79" t="s">
        <v>71</v>
      </c>
      <c r="C64" s="114" t="s">
        <v>254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6"/>
    </row>
    <row r="65" spans="1:14" ht="13.2">
      <c r="A65" s="24"/>
      <c r="B65" s="80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43"/>
    </row>
    <row r="66" spans="1:14" ht="13.2">
      <c r="A66" s="24"/>
      <c r="B66" s="73" t="s">
        <v>5</v>
      </c>
      <c r="C66" s="72"/>
      <c r="D66" s="74" t="s">
        <v>64</v>
      </c>
      <c r="E66" s="72"/>
      <c r="F66" s="74" t="s">
        <v>65</v>
      </c>
      <c r="G66" s="72"/>
      <c r="H66" s="74" t="s">
        <v>66</v>
      </c>
      <c r="I66" s="72"/>
      <c r="J66" s="74" t="s">
        <v>67</v>
      </c>
      <c r="K66" s="72"/>
      <c r="L66" s="74" t="s">
        <v>72</v>
      </c>
      <c r="M66" s="72"/>
      <c r="N66" s="75" t="s">
        <v>69</v>
      </c>
    </row>
    <row r="67" spans="1:14" ht="13.2">
      <c r="A67" s="24"/>
      <c r="B67" s="52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66"/>
    </row>
    <row r="68" spans="1:14" ht="13.2">
      <c r="A68" s="24"/>
      <c r="B68" s="76">
        <v>45695</v>
      </c>
      <c r="C68" s="24"/>
      <c r="D68" s="77">
        <v>9</v>
      </c>
      <c r="E68" s="24"/>
      <c r="F68" s="77">
        <v>90</v>
      </c>
      <c r="G68" s="24"/>
      <c r="H68" s="78" t="s">
        <v>74</v>
      </c>
      <c r="I68" s="24"/>
      <c r="J68" s="78" t="s">
        <v>46</v>
      </c>
      <c r="K68" s="24"/>
      <c r="L68" s="77">
        <v>15</v>
      </c>
      <c r="M68" s="24"/>
      <c r="N68" s="78" t="s">
        <v>70</v>
      </c>
    </row>
    <row r="69" spans="1:14" ht="13.2">
      <c r="A69" s="24"/>
      <c r="B69" s="52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66"/>
    </row>
    <row r="70" spans="1:14" ht="13.2">
      <c r="A70" s="24"/>
      <c r="B70" s="79" t="s">
        <v>71</v>
      </c>
      <c r="C70" s="114" t="s">
        <v>255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6"/>
    </row>
    <row r="71" spans="1:14" ht="13.2">
      <c r="A71" s="24"/>
      <c r="B71" s="80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43"/>
    </row>
    <row r="72" spans="1:14" ht="13.2">
      <c r="A72" s="24"/>
      <c r="B72" s="73" t="s">
        <v>5</v>
      </c>
      <c r="C72" s="72"/>
      <c r="D72" s="74" t="s">
        <v>64</v>
      </c>
      <c r="E72" s="72"/>
      <c r="F72" s="74" t="s">
        <v>65</v>
      </c>
      <c r="G72" s="72"/>
      <c r="H72" s="74" t="s">
        <v>66</v>
      </c>
      <c r="I72" s="72"/>
      <c r="J72" s="74" t="s">
        <v>67</v>
      </c>
      <c r="K72" s="72"/>
      <c r="L72" s="74" t="s">
        <v>72</v>
      </c>
      <c r="M72" s="72"/>
      <c r="N72" s="75" t="s">
        <v>69</v>
      </c>
    </row>
    <row r="73" spans="1:14" ht="13.2">
      <c r="A73" s="24"/>
      <c r="B73" s="52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66"/>
    </row>
    <row r="74" spans="1:14" ht="13.2">
      <c r="A74" s="24"/>
      <c r="B74" s="76">
        <v>45695</v>
      </c>
      <c r="C74" s="24"/>
      <c r="D74" s="77">
        <v>10</v>
      </c>
      <c r="E74" s="24"/>
      <c r="F74" s="77">
        <v>90</v>
      </c>
      <c r="G74" s="24"/>
      <c r="H74" s="78" t="s">
        <v>74</v>
      </c>
      <c r="I74" s="24"/>
      <c r="J74" s="78" t="s">
        <v>46</v>
      </c>
      <c r="K74" s="24"/>
      <c r="L74" s="77">
        <v>30</v>
      </c>
      <c r="M74" s="24"/>
      <c r="N74" s="78" t="s">
        <v>70</v>
      </c>
    </row>
    <row r="75" spans="1:14" ht="13.2">
      <c r="A75" s="24"/>
      <c r="B75" s="52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66"/>
    </row>
    <row r="76" spans="1:14" ht="13.2">
      <c r="A76" s="24"/>
      <c r="B76" s="79" t="s">
        <v>71</v>
      </c>
      <c r="C76" s="114" t="s">
        <v>256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6"/>
    </row>
    <row r="77" spans="1:14" ht="13.2">
      <c r="A77" s="24"/>
      <c r="B77" s="80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43"/>
    </row>
    <row r="78" spans="1:14" ht="13.2">
      <c r="A78" s="24"/>
      <c r="B78" s="73" t="s">
        <v>5</v>
      </c>
      <c r="C78" s="72"/>
      <c r="D78" s="74" t="s">
        <v>64</v>
      </c>
      <c r="E78" s="72"/>
      <c r="F78" s="74" t="s">
        <v>65</v>
      </c>
      <c r="G78" s="72"/>
      <c r="H78" s="74" t="s">
        <v>66</v>
      </c>
      <c r="I78" s="72"/>
      <c r="J78" s="74" t="s">
        <v>67</v>
      </c>
      <c r="K78" s="72"/>
      <c r="L78" s="74" t="s">
        <v>72</v>
      </c>
      <c r="M78" s="72"/>
      <c r="N78" s="75" t="s">
        <v>69</v>
      </c>
    </row>
    <row r="79" spans="1:14" ht="13.2">
      <c r="A79" s="24"/>
      <c r="B79" s="52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66"/>
    </row>
    <row r="80" spans="1:14" ht="13.2">
      <c r="A80" s="24"/>
      <c r="B80" s="76">
        <v>45695</v>
      </c>
      <c r="C80" s="24"/>
      <c r="D80" s="77">
        <v>11</v>
      </c>
      <c r="E80" s="24"/>
      <c r="F80" s="77">
        <v>90</v>
      </c>
      <c r="G80" s="24"/>
      <c r="H80" s="78" t="s">
        <v>74</v>
      </c>
      <c r="I80" s="24"/>
      <c r="J80" s="78" t="s">
        <v>46</v>
      </c>
      <c r="K80" s="24"/>
      <c r="L80" s="77">
        <v>32</v>
      </c>
      <c r="M80" s="24"/>
      <c r="N80" s="78" t="s">
        <v>70</v>
      </c>
    </row>
    <row r="81" spans="1:14" ht="13.2">
      <c r="A81" s="24"/>
      <c r="B81" s="52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66"/>
    </row>
    <row r="82" spans="1:14" ht="13.2">
      <c r="A82" s="283"/>
      <c r="B82" s="291" t="s">
        <v>71</v>
      </c>
      <c r="C82" s="292" t="s">
        <v>257</v>
      </c>
      <c r="D82" s="293"/>
      <c r="E82" s="293"/>
      <c r="F82" s="293"/>
      <c r="G82" s="293"/>
      <c r="H82" s="293"/>
      <c r="I82" s="293"/>
      <c r="J82" s="293"/>
      <c r="K82" s="293"/>
      <c r="L82" s="293"/>
      <c r="M82" s="293"/>
      <c r="N82" s="294"/>
    </row>
    <row r="83" spans="1:14" ht="13.2">
      <c r="A83" s="284"/>
      <c r="B83" s="284"/>
      <c r="C83" s="284"/>
      <c r="D83" s="284"/>
      <c r="E83" s="284"/>
      <c r="F83" s="284"/>
      <c r="G83" s="284"/>
      <c r="H83" s="284"/>
      <c r="I83" s="284"/>
      <c r="J83" s="284"/>
      <c r="K83" s="284"/>
      <c r="L83" s="284"/>
      <c r="M83" s="284"/>
      <c r="N83" s="284"/>
    </row>
    <row r="84" spans="1:14" ht="13.2">
      <c r="A84" s="284"/>
      <c r="B84" s="285"/>
      <c r="C84" s="285"/>
      <c r="D84" s="285"/>
      <c r="E84" s="285"/>
      <c r="F84" s="285"/>
      <c r="G84" s="285"/>
      <c r="H84" s="285"/>
      <c r="I84" s="285"/>
      <c r="J84" s="285"/>
      <c r="K84" s="285"/>
      <c r="L84" s="285"/>
      <c r="M84" s="285"/>
      <c r="N84" s="285"/>
    </row>
    <row r="85" spans="1:14" ht="13.2">
      <c r="A85" s="284"/>
      <c r="B85" s="284"/>
      <c r="C85" s="284"/>
      <c r="D85" s="284"/>
      <c r="E85" s="284"/>
      <c r="F85" s="284"/>
      <c r="G85" s="284"/>
      <c r="H85" s="284"/>
      <c r="I85" s="284"/>
      <c r="J85" s="284"/>
      <c r="K85" s="284"/>
      <c r="L85" s="284"/>
      <c r="M85" s="284"/>
      <c r="N85" s="284"/>
    </row>
    <row r="86" spans="1:14" ht="13.2">
      <c r="A86" s="284"/>
      <c r="B86" s="286"/>
      <c r="C86" s="284"/>
      <c r="D86" s="287"/>
      <c r="E86" s="284"/>
      <c r="F86" s="287"/>
      <c r="G86" s="284"/>
      <c r="H86" s="284"/>
      <c r="I86" s="284"/>
      <c r="J86" s="284"/>
      <c r="K86" s="284"/>
      <c r="L86" s="287"/>
      <c r="M86" s="284"/>
      <c r="N86" s="284"/>
    </row>
    <row r="87" spans="1:14" ht="13.2">
      <c r="A87" s="284"/>
      <c r="B87" s="284"/>
      <c r="C87" s="284"/>
      <c r="D87" s="284"/>
      <c r="E87" s="284"/>
      <c r="F87" s="284"/>
      <c r="G87" s="284"/>
      <c r="H87" s="284"/>
      <c r="I87" s="284"/>
      <c r="J87" s="284"/>
      <c r="K87" s="284"/>
      <c r="L87" s="284"/>
      <c r="M87" s="284"/>
      <c r="N87" s="284"/>
    </row>
    <row r="88" spans="1:14" ht="13.2">
      <c r="A88" s="284"/>
      <c r="B88" s="288"/>
      <c r="C88" s="289"/>
      <c r="D88" s="290"/>
      <c r="E88" s="290"/>
      <c r="F88" s="290"/>
      <c r="G88" s="290"/>
      <c r="H88" s="290"/>
      <c r="I88" s="290"/>
      <c r="J88" s="290"/>
      <c r="K88" s="290"/>
      <c r="L88" s="290"/>
      <c r="M88" s="290"/>
      <c r="N88" s="290"/>
    </row>
    <row r="89" spans="1:14" ht="13.2">
      <c r="A89" s="284"/>
      <c r="B89" s="284"/>
      <c r="C89" s="284"/>
      <c r="D89" s="284"/>
      <c r="E89" s="284"/>
      <c r="F89" s="284"/>
      <c r="G89" s="284"/>
      <c r="H89" s="284"/>
      <c r="I89" s="284"/>
      <c r="J89" s="284"/>
      <c r="K89" s="284"/>
      <c r="L89" s="284"/>
      <c r="M89" s="284"/>
      <c r="N89" s="284"/>
    </row>
    <row r="90" spans="1:14" ht="13.2">
      <c r="A90" s="284"/>
      <c r="B90" s="285"/>
      <c r="C90" s="285"/>
      <c r="D90" s="285"/>
      <c r="E90" s="285"/>
      <c r="F90" s="285"/>
      <c r="G90" s="285"/>
      <c r="H90" s="285"/>
      <c r="I90" s="285"/>
      <c r="J90" s="285"/>
      <c r="K90" s="285"/>
      <c r="L90" s="285"/>
      <c r="M90" s="285"/>
      <c r="N90" s="285"/>
    </row>
    <row r="91" spans="1:14" ht="13.2">
      <c r="A91" s="284"/>
      <c r="B91" s="284"/>
      <c r="C91" s="284"/>
      <c r="D91" s="284"/>
      <c r="E91" s="284"/>
      <c r="F91" s="284"/>
      <c r="G91" s="284"/>
      <c r="H91" s="284"/>
      <c r="I91" s="284"/>
      <c r="J91" s="284"/>
      <c r="K91" s="284"/>
      <c r="L91" s="284"/>
      <c r="M91" s="284"/>
      <c r="N91" s="284"/>
    </row>
    <row r="92" spans="1:14" ht="13.2">
      <c r="A92" s="284"/>
      <c r="B92" s="286"/>
      <c r="C92" s="284"/>
      <c r="D92" s="287"/>
      <c r="E92" s="284"/>
      <c r="F92" s="287"/>
      <c r="G92" s="284"/>
      <c r="H92" s="284"/>
      <c r="I92" s="284"/>
      <c r="J92" s="284"/>
      <c r="K92" s="284"/>
      <c r="L92" s="287"/>
      <c r="M92" s="284"/>
      <c r="N92" s="284"/>
    </row>
    <row r="93" spans="1:14" ht="13.2">
      <c r="A93" s="284"/>
      <c r="B93" s="284"/>
      <c r="C93" s="284"/>
      <c r="D93" s="284"/>
      <c r="E93" s="284"/>
      <c r="F93" s="284"/>
      <c r="G93" s="284"/>
      <c r="H93" s="284"/>
      <c r="I93" s="284"/>
      <c r="J93" s="284"/>
      <c r="K93" s="284"/>
      <c r="L93" s="284"/>
      <c r="M93" s="284"/>
      <c r="N93" s="284"/>
    </row>
    <row r="94" spans="1:14" ht="13.2">
      <c r="A94" s="284"/>
      <c r="B94" s="288"/>
      <c r="C94" s="289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</row>
    <row r="95" spans="1:14" ht="13.2">
      <c r="A95" s="284"/>
      <c r="B95" s="284"/>
      <c r="C95" s="284"/>
      <c r="D95" s="284"/>
      <c r="E95" s="284"/>
      <c r="F95" s="284"/>
      <c r="G95" s="284"/>
      <c r="H95" s="284"/>
      <c r="I95" s="284"/>
      <c r="J95" s="284"/>
      <c r="K95" s="284"/>
      <c r="L95" s="284"/>
      <c r="M95" s="284"/>
      <c r="N95" s="284"/>
    </row>
    <row r="96" spans="1:14" ht="13.2">
      <c r="A96" s="284"/>
      <c r="B96" s="285"/>
      <c r="C96" s="285"/>
      <c r="D96" s="285"/>
      <c r="E96" s="285"/>
      <c r="F96" s="285"/>
      <c r="G96" s="285"/>
      <c r="H96" s="285"/>
      <c r="I96" s="285"/>
      <c r="J96" s="285"/>
      <c r="K96" s="285"/>
      <c r="L96" s="285"/>
      <c r="M96" s="285"/>
      <c r="N96" s="285"/>
    </row>
    <row r="97" spans="1:14" ht="13.2">
      <c r="A97" s="284"/>
      <c r="B97" s="284"/>
      <c r="C97" s="284"/>
      <c r="D97" s="284"/>
      <c r="E97" s="284"/>
      <c r="F97" s="284"/>
      <c r="G97" s="284"/>
      <c r="H97" s="284"/>
      <c r="I97" s="284"/>
      <c r="J97" s="284"/>
      <c r="K97" s="284"/>
      <c r="L97" s="284"/>
      <c r="M97" s="284"/>
      <c r="N97" s="284"/>
    </row>
    <row r="98" spans="1:14" ht="13.2">
      <c r="A98" s="284"/>
      <c r="B98" s="286"/>
      <c r="C98" s="284"/>
      <c r="D98" s="287"/>
      <c r="E98" s="284"/>
      <c r="F98" s="287"/>
      <c r="G98" s="284"/>
      <c r="H98" s="284"/>
      <c r="I98" s="284"/>
      <c r="J98" s="284"/>
      <c r="K98" s="284"/>
      <c r="L98" s="287"/>
      <c r="M98" s="284"/>
      <c r="N98" s="284"/>
    </row>
    <row r="99" spans="1:14" ht="13.2">
      <c r="A99" s="284"/>
      <c r="B99" s="284"/>
      <c r="C99" s="284"/>
      <c r="D99" s="284"/>
      <c r="E99" s="284"/>
      <c r="F99" s="284"/>
      <c r="G99" s="284"/>
      <c r="H99" s="284"/>
      <c r="I99" s="284"/>
      <c r="J99" s="284"/>
      <c r="K99" s="284"/>
      <c r="L99" s="284"/>
      <c r="M99" s="284"/>
      <c r="N99" s="284"/>
    </row>
    <row r="100" spans="1:14" ht="13.2">
      <c r="A100" s="284"/>
      <c r="B100" s="288"/>
      <c r="C100" s="289"/>
      <c r="D100" s="290"/>
      <c r="E100" s="290"/>
      <c r="F100" s="290"/>
      <c r="G100" s="290"/>
      <c r="H100" s="290"/>
      <c r="I100" s="290"/>
      <c r="J100" s="290"/>
      <c r="K100" s="290"/>
      <c r="L100" s="290"/>
      <c r="M100" s="290"/>
      <c r="N100" s="290"/>
    </row>
    <row r="101" spans="1:14" ht="13.2">
      <c r="A101" s="284"/>
      <c r="B101" s="284"/>
      <c r="C101" s="284"/>
      <c r="D101" s="284"/>
      <c r="E101" s="284"/>
      <c r="F101" s="284"/>
      <c r="G101" s="284"/>
      <c r="H101" s="284"/>
      <c r="I101" s="284"/>
      <c r="J101" s="284"/>
      <c r="K101" s="284"/>
      <c r="L101" s="284"/>
      <c r="M101" s="284"/>
      <c r="N101" s="284"/>
    </row>
    <row r="102" spans="1:14" ht="13.2">
      <c r="A102" s="284"/>
      <c r="B102" s="285"/>
      <c r="C102" s="285"/>
      <c r="D102" s="285"/>
      <c r="E102" s="285"/>
      <c r="F102" s="285"/>
      <c r="G102" s="285"/>
      <c r="H102" s="285"/>
      <c r="I102" s="285"/>
      <c r="J102" s="285"/>
      <c r="K102" s="285"/>
      <c r="L102" s="285"/>
      <c r="M102" s="285"/>
      <c r="N102" s="285"/>
    </row>
    <row r="103" spans="1:14" ht="13.2">
      <c r="A103" s="284"/>
      <c r="B103" s="284"/>
      <c r="C103" s="284"/>
      <c r="D103" s="284"/>
      <c r="E103" s="284"/>
      <c r="F103" s="284"/>
      <c r="G103" s="284"/>
      <c r="H103" s="284"/>
      <c r="I103" s="284"/>
      <c r="J103" s="284"/>
      <c r="K103" s="284"/>
      <c r="L103" s="284"/>
      <c r="M103" s="284"/>
      <c r="N103" s="284"/>
    </row>
    <row r="104" spans="1:14" ht="13.2">
      <c r="A104" s="284"/>
      <c r="B104" s="286"/>
      <c r="C104" s="284"/>
      <c r="D104" s="287"/>
      <c r="E104" s="284"/>
      <c r="F104" s="287"/>
      <c r="G104" s="284"/>
      <c r="H104" s="284"/>
      <c r="I104" s="284"/>
      <c r="J104" s="284"/>
      <c r="K104" s="284"/>
      <c r="L104" s="287"/>
      <c r="M104" s="284"/>
      <c r="N104" s="284"/>
    </row>
    <row r="105" spans="1:14" ht="13.2">
      <c r="A105" s="284"/>
      <c r="B105" s="284"/>
      <c r="C105" s="284"/>
      <c r="D105" s="284"/>
      <c r="E105" s="284"/>
      <c r="F105" s="284"/>
      <c r="G105" s="284"/>
      <c r="H105" s="284"/>
      <c r="I105" s="284"/>
      <c r="J105" s="284"/>
      <c r="K105" s="284"/>
      <c r="L105" s="284"/>
      <c r="M105" s="284"/>
      <c r="N105" s="284"/>
    </row>
    <row r="106" spans="1:14" ht="13.2">
      <c r="A106" s="284"/>
      <c r="B106" s="288"/>
      <c r="C106" s="157"/>
      <c r="D106" s="157"/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</row>
    <row r="107" spans="1:14" ht="13.2">
      <c r="A107" s="284"/>
      <c r="B107" s="284"/>
      <c r="C107" s="284"/>
      <c r="D107" s="284"/>
      <c r="E107" s="284"/>
      <c r="F107" s="284"/>
      <c r="G107" s="284"/>
      <c r="H107" s="284"/>
      <c r="I107" s="284"/>
      <c r="J107" s="284"/>
      <c r="K107" s="284"/>
      <c r="L107" s="284"/>
      <c r="M107" s="284"/>
      <c r="N107" s="284"/>
    </row>
    <row r="108" spans="1:14" ht="13.2">
      <c r="A108" s="284"/>
      <c r="B108" s="285"/>
      <c r="C108" s="285"/>
      <c r="D108" s="285"/>
      <c r="E108" s="285"/>
      <c r="F108" s="285"/>
      <c r="G108" s="285"/>
      <c r="H108" s="285"/>
      <c r="I108" s="285"/>
      <c r="J108" s="285"/>
      <c r="K108" s="285"/>
      <c r="L108" s="285"/>
      <c r="M108" s="285"/>
      <c r="N108" s="285"/>
    </row>
    <row r="109" spans="1:14" ht="13.2">
      <c r="A109" s="284"/>
      <c r="B109" s="284"/>
      <c r="C109" s="284"/>
      <c r="D109" s="284"/>
      <c r="E109" s="284"/>
      <c r="F109" s="284"/>
      <c r="G109" s="284"/>
      <c r="H109" s="284"/>
      <c r="I109" s="284"/>
      <c r="J109" s="284"/>
      <c r="K109" s="284"/>
      <c r="L109" s="284"/>
      <c r="M109" s="284"/>
      <c r="N109" s="284"/>
    </row>
    <row r="110" spans="1:14" ht="13.2">
      <c r="A110" s="284"/>
      <c r="B110" s="286"/>
      <c r="C110" s="284"/>
      <c r="D110" s="287"/>
      <c r="E110" s="284"/>
      <c r="F110" s="287"/>
      <c r="G110" s="284"/>
      <c r="H110" s="284"/>
      <c r="I110" s="284"/>
      <c r="J110" s="284"/>
      <c r="K110" s="284"/>
      <c r="L110" s="287"/>
      <c r="M110" s="284"/>
      <c r="N110" s="284"/>
    </row>
    <row r="111" spans="1:14" ht="13.2">
      <c r="A111" s="284"/>
      <c r="B111" s="284"/>
      <c r="C111" s="284"/>
      <c r="D111" s="284"/>
      <c r="E111" s="284"/>
      <c r="F111" s="284"/>
      <c r="G111" s="284"/>
      <c r="H111" s="284"/>
      <c r="I111" s="284"/>
      <c r="J111" s="284"/>
      <c r="K111" s="284"/>
      <c r="L111" s="284"/>
      <c r="M111" s="284"/>
      <c r="N111" s="284"/>
    </row>
    <row r="112" spans="1:14" ht="13.2">
      <c r="A112" s="284"/>
      <c r="B112" s="288"/>
      <c r="C112" s="289"/>
      <c r="D112" s="290"/>
      <c r="E112" s="290"/>
      <c r="F112" s="290"/>
      <c r="G112" s="290"/>
      <c r="H112" s="290"/>
      <c r="I112" s="290"/>
      <c r="J112" s="290"/>
      <c r="K112" s="290"/>
      <c r="L112" s="290"/>
      <c r="M112" s="290"/>
      <c r="N112" s="290"/>
    </row>
    <row r="113" spans="1:14" ht="13.2">
      <c r="A113" s="284"/>
      <c r="B113" s="284"/>
      <c r="C113" s="284"/>
      <c r="D113" s="284"/>
      <c r="E113" s="284"/>
      <c r="F113" s="284"/>
      <c r="G113" s="284"/>
      <c r="H113" s="284"/>
      <c r="I113" s="284"/>
      <c r="J113" s="284"/>
      <c r="K113" s="284"/>
      <c r="L113" s="284"/>
      <c r="M113" s="284"/>
      <c r="N113" s="284"/>
    </row>
    <row r="114" spans="1:14" ht="13.2">
      <c r="A114" s="284"/>
      <c r="B114" s="285"/>
      <c r="C114" s="285"/>
      <c r="D114" s="285"/>
      <c r="E114" s="285"/>
      <c r="F114" s="285"/>
      <c r="G114" s="285"/>
      <c r="H114" s="285"/>
      <c r="I114" s="285"/>
      <c r="J114" s="285"/>
      <c r="K114" s="285"/>
      <c r="L114" s="285"/>
      <c r="M114" s="285"/>
      <c r="N114" s="285"/>
    </row>
    <row r="115" spans="1:14" ht="13.2">
      <c r="A115" s="284"/>
      <c r="B115" s="284"/>
      <c r="C115" s="284"/>
      <c r="D115" s="284"/>
      <c r="E115" s="284"/>
      <c r="F115" s="284"/>
      <c r="G115" s="284"/>
      <c r="H115" s="284"/>
      <c r="I115" s="284"/>
      <c r="J115" s="284"/>
      <c r="K115" s="284"/>
      <c r="L115" s="284"/>
      <c r="M115" s="284"/>
      <c r="N115" s="284"/>
    </row>
    <row r="116" spans="1:14" ht="13.2">
      <c r="A116" s="284"/>
      <c r="B116" s="286"/>
      <c r="C116" s="284"/>
      <c r="D116" s="287"/>
      <c r="E116" s="284"/>
      <c r="F116" s="287"/>
      <c r="G116" s="284"/>
      <c r="H116" s="284"/>
      <c r="I116" s="284"/>
      <c r="J116" s="284"/>
      <c r="K116" s="284"/>
      <c r="L116" s="287"/>
      <c r="M116" s="284"/>
      <c r="N116" s="284"/>
    </row>
    <row r="117" spans="1:14" ht="13.2">
      <c r="A117" s="284"/>
      <c r="B117" s="284"/>
      <c r="C117" s="284"/>
      <c r="D117" s="284"/>
      <c r="E117" s="284"/>
      <c r="F117" s="284"/>
      <c r="G117" s="284"/>
      <c r="H117" s="284"/>
      <c r="I117" s="284"/>
      <c r="J117" s="284"/>
      <c r="K117" s="284"/>
      <c r="L117" s="284"/>
      <c r="M117" s="284"/>
      <c r="N117" s="284"/>
    </row>
    <row r="118" spans="1:14" ht="13.2">
      <c r="A118" s="284"/>
      <c r="B118" s="288"/>
      <c r="C118" s="289"/>
      <c r="D118" s="290"/>
      <c r="E118" s="290"/>
      <c r="F118" s="290"/>
      <c r="G118" s="290"/>
      <c r="H118" s="290"/>
      <c r="I118" s="290"/>
      <c r="J118" s="290"/>
      <c r="K118" s="290"/>
      <c r="L118" s="290"/>
      <c r="M118" s="290"/>
      <c r="N118" s="290"/>
    </row>
    <row r="119" spans="1:14" ht="13.2">
      <c r="A119" s="284"/>
      <c r="B119" s="284"/>
      <c r="C119" s="284"/>
      <c r="D119" s="284"/>
      <c r="E119" s="284"/>
      <c r="F119" s="284"/>
      <c r="G119" s="284"/>
      <c r="H119" s="284"/>
      <c r="I119" s="284"/>
      <c r="J119" s="284"/>
      <c r="K119" s="284"/>
      <c r="L119" s="284"/>
      <c r="M119" s="284"/>
      <c r="N119" s="284"/>
    </row>
    <row r="120" spans="1:14" ht="13.2">
      <c r="A120" s="284"/>
      <c r="B120" s="285"/>
      <c r="C120" s="285"/>
      <c r="D120" s="285"/>
      <c r="E120" s="285"/>
      <c r="F120" s="285"/>
      <c r="G120" s="285"/>
      <c r="H120" s="285"/>
      <c r="I120" s="285"/>
      <c r="J120" s="285"/>
      <c r="K120" s="285"/>
      <c r="L120" s="285"/>
      <c r="M120" s="285"/>
      <c r="N120" s="285"/>
    </row>
    <row r="121" spans="1:14" ht="13.2">
      <c r="A121" s="284"/>
      <c r="B121" s="284"/>
      <c r="C121" s="284"/>
      <c r="D121" s="284"/>
      <c r="E121" s="284"/>
      <c r="F121" s="284"/>
      <c r="G121" s="284"/>
      <c r="H121" s="284"/>
      <c r="I121" s="284"/>
      <c r="J121" s="284"/>
      <c r="K121" s="284"/>
      <c r="L121" s="284"/>
      <c r="M121" s="284"/>
      <c r="N121" s="284"/>
    </row>
    <row r="122" spans="1:14" ht="13.2">
      <c r="A122" s="284"/>
      <c r="B122" s="286"/>
      <c r="C122" s="284"/>
      <c r="D122" s="287"/>
      <c r="E122" s="284"/>
      <c r="F122" s="287"/>
      <c r="G122" s="284"/>
      <c r="H122" s="284"/>
      <c r="I122" s="284"/>
      <c r="J122" s="284"/>
      <c r="K122" s="284"/>
      <c r="L122" s="287"/>
      <c r="M122" s="284"/>
      <c r="N122" s="284"/>
    </row>
    <row r="123" spans="1:14" ht="13.2">
      <c r="A123" s="284"/>
      <c r="B123" s="284"/>
      <c r="C123" s="284"/>
      <c r="D123" s="284"/>
      <c r="E123" s="284"/>
      <c r="F123" s="284"/>
      <c r="G123" s="284"/>
      <c r="H123" s="284"/>
      <c r="I123" s="284"/>
      <c r="J123" s="284"/>
      <c r="K123" s="284"/>
      <c r="L123" s="284"/>
      <c r="M123" s="284"/>
      <c r="N123" s="284"/>
    </row>
    <row r="124" spans="1:14" ht="13.2">
      <c r="A124" s="284"/>
      <c r="B124" s="288"/>
      <c r="C124" s="157"/>
      <c r="D124" s="157"/>
      <c r="E124" s="157"/>
      <c r="F124" s="157"/>
      <c r="G124" s="157"/>
      <c r="H124" s="157"/>
      <c r="I124" s="157"/>
      <c r="J124" s="157"/>
      <c r="K124" s="157"/>
      <c r="L124" s="157"/>
      <c r="M124" s="157"/>
      <c r="N124" s="157"/>
    </row>
    <row r="125" spans="1:14" ht="13.2">
      <c r="A125" s="284"/>
      <c r="B125" s="284"/>
      <c r="C125" s="284"/>
      <c r="D125" s="284"/>
      <c r="E125" s="284"/>
      <c r="F125" s="284"/>
      <c r="G125" s="284"/>
      <c r="H125" s="284"/>
      <c r="I125" s="284"/>
      <c r="J125" s="284"/>
      <c r="K125" s="284"/>
      <c r="L125" s="284"/>
      <c r="M125" s="284"/>
      <c r="N125" s="284"/>
    </row>
    <row r="126" spans="1:14" ht="13.2">
      <c r="A126" s="284"/>
      <c r="B126" s="285"/>
      <c r="C126" s="285"/>
      <c r="D126" s="285"/>
      <c r="E126" s="285"/>
      <c r="F126" s="285"/>
      <c r="G126" s="285"/>
      <c r="H126" s="285"/>
      <c r="I126" s="285"/>
      <c r="J126" s="285"/>
      <c r="K126" s="285"/>
      <c r="L126" s="285"/>
      <c r="M126" s="285"/>
      <c r="N126" s="285"/>
    </row>
    <row r="127" spans="1:14" ht="13.2">
      <c r="A127" s="284"/>
      <c r="B127" s="284"/>
      <c r="C127" s="284"/>
      <c r="D127" s="284"/>
      <c r="E127" s="284"/>
      <c r="F127" s="284"/>
      <c r="G127" s="284"/>
      <c r="H127" s="284"/>
      <c r="I127" s="284"/>
      <c r="J127" s="284"/>
      <c r="K127" s="284"/>
      <c r="L127" s="284"/>
      <c r="M127" s="284"/>
      <c r="N127" s="284"/>
    </row>
    <row r="128" spans="1:14" ht="13.2">
      <c r="A128" s="284"/>
      <c r="B128" s="286"/>
      <c r="C128" s="284"/>
      <c r="D128" s="157"/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</row>
    <row r="129" spans="1:14" ht="13.2">
      <c r="A129" s="284"/>
      <c r="B129" s="284"/>
      <c r="C129" s="284"/>
      <c r="D129" s="284"/>
      <c r="E129" s="284"/>
      <c r="F129" s="284"/>
      <c r="G129" s="284"/>
      <c r="H129" s="284"/>
      <c r="I129" s="284"/>
      <c r="J129" s="284"/>
      <c r="K129" s="284"/>
      <c r="L129" s="284"/>
      <c r="M129" s="284"/>
      <c r="N129" s="284"/>
    </row>
    <row r="130" spans="1:14" ht="13.2">
      <c r="A130" s="284"/>
      <c r="B130" s="288"/>
      <c r="C130" s="289"/>
      <c r="D130" s="290"/>
      <c r="E130" s="290"/>
      <c r="F130" s="290"/>
      <c r="G130" s="290"/>
      <c r="H130" s="290"/>
      <c r="I130" s="290"/>
      <c r="J130" s="290"/>
      <c r="K130" s="290"/>
      <c r="L130" s="290"/>
      <c r="M130" s="290"/>
      <c r="N130" s="290"/>
    </row>
    <row r="131" spans="1:14" ht="13.2">
      <c r="A131" s="284"/>
      <c r="B131" s="284"/>
      <c r="C131" s="284"/>
      <c r="D131" s="284"/>
      <c r="E131" s="284"/>
      <c r="F131" s="284"/>
      <c r="G131" s="284"/>
      <c r="H131" s="284"/>
      <c r="I131" s="284"/>
      <c r="J131" s="284"/>
      <c r="K131" s="284"/>
      <c r="L131" s="284"/>
      <c r="M131" s="284"/>
      <c r="N131" s="284"/>
    </row>
    <row r="132" spans="1:14" ht="13.2">
      <c r="A132" s="284"/>
      <c r="B132" s="285"/>
      <c r="C132" s="285"/>
      <c r="D132" s="285"/>
      <c r="E132" s="285"/>
      <c r="F132" s="285"/>
      <c r="G132" s="285"/>
      <c r="H132" s="285"/>
      <c r="I132" s="285"/>
      <c r="J132" s="285"/>
      <c r="K132" s="285"/>
      <c r="L132" s="285"/>
      <c r="M132" s="285"/>
      <c r="N132" s="285"/>
    </row>
    <row r="133" spans="1:14" ht="13.2">
      <c r="A133" s="284"/>
      <c r="B133" s="284"/>
      <c r="C133" s="284"/>
      <c r="D133" s="284"/>
      <c r="E133" s="284"/>
      <c r="F133" s="284"/>
      <c r="G133" s="284"/>
      <c r="H133" s="284"/>
      <c r="I133" s="284"/>
      <c r="J133" s="284"/>
      <c r="K133" s="284"/>
      <c r="L133" s="284"/>
      <c r="M133" s="284"/>
      <c r="N133" s="284"/>
    </row>
    <row r="134" spans="1:14" ht="13.2">
      <c r="A134" s="284"/>
      <c r="B134" s="286"/>
      <c r="C134" s="284"/>
      <c r="D134" s="287"/>
      <c r="E134" s="284"/>
      <c r="F134" s="287"/>
      <c r="G134" s="284"/>
      <c r="H134" s="284"/>
      <c r="I134" s="284"/>
      <c r="J134" s="284"/>
      <c r="K134" s="284"/>
      <c r="L134" s="287"/>
      <c r="M134" s="284"/>
      <c r="N134" s="284"/>
    </row>
    <row r="135" spans="1:14" ht="13.2">
      <c r="A135" s="284"/>
      <c r="B135" s="284"/>
      <c r="C135" s="284"/>
      <c r="D135" s="284"/>
      <c r="E135" s="284"/>
      <c r="F135" s="284"/>
      <c r="G135" s="284"/>
      <c r="H135" s="284"/>
      <c r="I135" s="284"/>
      <c r="J135" s="284"/>
      <c r="K135" s="284"/>
      <c r="L135" s="284"/>
      <c r="M135" s="284"/>
      <c r="N135" s="284"/>
    </row>
    <row r="136" spans="1:14" ht="13.2">
      <c r="A136" s="284"/>
      <c r="B136" s="288"/>
      <c r="C136" s="289"/>
      <c r="D136" s="290"/>
      <c r="E136" s="290"/>
      <c r="F136" s="290"/>
      <c r="G136" s="290"/>
      <c r="H136" s="290"/>
      <c r="I136" s="290"/>
      <c r="J136" s="290"/>
      <c r="K136" s="290"/>
      <c r="L136" s="290"/>
      <c r="M136" s="290"/>
      <c r="N136" s="290"/>
    </row>
    <row r="137" spans="1:14" ht="13.2">
      <c r="A137" s="284"/>
      <c r="B137" s="284"/>
      <c r="C137" s="284"/>
      <c r="D137" s="284"/>
      <c r="E137" s="284"/>
      <c r="F137" s="284"/>
      <c r="G137" s="284"/>
      <c r="H137" s="284"/>
      <c r="I137" s="284"/>
      <c r="J137" s="284"/>
      <c r="K137" s="284"/>
      <c r="L137" s="284"/>
      <c r="M137" s="284"/>
      <c r="N137" s="284"/>
    </row>
    <row r="138" spans="1:14" ht="13.2">
      <c r="A138" s="284"/>
      <c r="B138" s="285"/>
      <c r="C138" s="285"/>
      <c r="D138" s="285"/>
      <c r="E138" s="285"/>
      <c r="F138" s="285"/>
      <c r="G138" s="285"/>
      <c r="H138" s="285"/>
      <c r="I138" s="285"/>
      <c r="J138" s="285"/>
      <c r="K138" s="285"/>
      <c r="L138" s="285"/>
      <c r="M138" s="285"/>
      <c r="N138" s="285"/>
    </row>
    <row r="139" spans="1:14" ht="13.2">
      <c r="A139" s="284"/>
      <c r="B139" s="284"/>
      <c r="C139" s="284"/>
      <c r="D139" s="284"/>
      <c r="E139" s="284"/>
      <c r="F139" s="284"/>
      <c r="G139" s="284"/>
      <c r="H139" s="284"/>
      <c r="I139" s="284"/>
      <c r="J139" s="284"/>
      <c r="K139" s="284"/>
      <c r="L139" s="284"/>
      <c r="M139" s="284"/>
      <c r="N139" s="284"/>
    </row>
    <row r="140" spans="1:14" ht="13.2">
      <c r="A140" s="284"/>
      <c r="B140" s="286"/>
      <c r="C140" s="284"/>
      <c r="D140" s="287"/>
      <c r="E140" s="284"/>
      <c r="F140" s="287"/>
      <c r="G140" s="284"/>
      <c r="H140" s="284"/>
      <c r="I140" s="284"/>
      <c r="J140" s="284"/>
      <c r="K140" s="284"/>
      <c r="L140" s="287"/>
      <c r="M140" s="284"/>
      <c r="N140" s="284"/>
    </row>
    <row r="141" spans="1:14" ht="13.2">
      <c r="A141" s="284"/>
      <c r="B141" s="284"/>
      <c r="C141" s="284"/>
      <c r="D141" s="284"/>
      <c r="E141" s="284"/>
      <c r="F141" s="284"/>
      <c r="G141" s="284"/>
      <c r="H141" s="284"/>
      <c r="I141" s="284"/>
      <c r="J141" s="284"/>
      <c r="K141" s="284"/>
      <c r="L141" s="284"/>
      <c r="M141" s="284"/>
      <c r="N141" s="284"/>
    </row>
    <row r="142" spans="1:14" ht="13.2">
      <c r="A142" s="284"/>
      <c r="B142" s="288"/>
      <c r="C142" s="157"/>
      <c r="D142" s="157"/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</row>
    <row r="143" spans="1:14" ht="13.2">
      <c r="A143" s="284"/>
      <c r="B143" s="284"/>
      <c r="C143" s="284"/>
      <c r="D143" s="284"/>
      <c r="E143" s="284"/>
      <c r="F143" s="284"/>
      <c r="G143" s="284"/>
      <c r="H143" s="284"/>
      <c r="I143" s="284"/>
      <c r="J143" s="284"/>
      <c r="K143" s="284"/>
      <c r="L143" s="284"/>
      <c r="M143" s="284"/>
      <c r="N143" s="284"/>
    </row>
    <row r="144" spans="1:14" ht="13.2">
      <c r="A144" s="284"/>
      <c r="B144" s="285"/>
      <c r="C144" s="285"/>
      <c r="D144" s="285"/>
      <c r="E144" s="285"/>
      <c r="F144" s="285"/>
      <c r="G144" s="285"/>
      <c r="H144" s="285"/>
      <c r="I144" s="285"/>
      <c r="J144" s="285"/>
      <c r="K144" s="285"/>
      <c r="L144" s="285"/>
      <c r="M144" s="285"/>
      <c r="N144" s="285"/>
    </row>
    <row r="145" spans="1:14" ht="13.2">
      <c r="A145" s="284"/>
      <c r="B145" s="284"/>
      <c r="C145" s="284"/>
      <c r="D145" s="284"/>
      <c r="E145" s="284"/>
      <c r="F145" s="284"/>
      <c r="G145" s="284"/>
      <c r="H145" s="284"/>
      <c r="I145" s="284"/>
      <c r="J145" s="284"/>
      <c r="K145" s="284"/>
      <c r="L145" s="284"/>
      <c r="M145" s="284"/>
      <c r="N145" s="284"/>
    </row>
    <row r="146" spans="1:14" ht="13.2">
      <c r="A146" s="284"/>
      <c r="B146" s="286"/>
      <c r="C146" s="284"/>
      <c r="D146" s="287"/>
      <c r="E146" s="284"/>
      <c r="F146" s="287"/>
      <c r="G146" s="284"/>
      <c r="H146" s="284"/>
      <c r="I146" s="284"/>
      <c r="J146" s="284"/>
      <c r="K146" s="284"/>
      <c r="L146" s="287"/>
      <c r="M146" s="284"/>
      <c r="N146" s="284"/>
    </row>
    <row r="147" spans="1:14" ht="13.2">
      <c r="A147" s="284"/>
      <c r="B147" s="284"/>
      <c r="C147" s="284"/>
      <c r="D147" s="284"/>
      <c r="E147" s="284"/>
      <c r="F147" s="284"/>
      <c r="G147" s="284"/>
      <c r="H147" s="284"/>
      <c r="I147" s="284"/>
      <c r="J147" s="284"/>
      <c r="K147" s="284"/>
      <c r="L147" s="284"/>
      <c r="M147" s="284"/>
      <c r="N147" s="284"/>
    </row>
    <row r="148" spans="1:14" ht="13.2">
      <c r="A148" s="284"/>
      <c r="B148" s="288"/>
      <c r="C148" s="289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</row>
    <row r="149" spans="1:14" ht="13.2">
      <c r="A149" s="284"/>
      <c r="B149" s="284"/>
      <c r="C149" s="284"/>
      <c r="D149" s="284"/>
      <c r="E149" s="284"/>
      <c r="F149" s="284"/>
      <c r="G149" s="284"/>
      <c r="H149" s="284"/>
      <c r="I149" s="284"/>
      <c r="J149" s="284"/>
      <c r="K149" s="284"/>
      <c r="L149" s="284"/>
      <c r="M149" s="284"/>
      <c r="N149" s="284"/>
    </row>
    <row r="150" spans="1:14" ht="13.2">
      <c r="A150" s="284"/>
      <c r="B150" s="285"/>
      <c r="C150" s="285"/>
      <c r="D150" s="285"/>
      <c r="E150" s="285"/>
      <c r="F150" s="285"/>
      <c r="G150" s="285"/>
      <c r="H150" s="285"/>
      <c r="I150" s="285"/>
      <c r="J150" s="285"/>
      <c r="K150" s="285"/>
      <c r="L150" s="285"/>
      <c r="M150" s="285"/>
      <c r="N150" s="285"/>
    </row>
    <row r="151" spans="1:14" ht="13.2">
      <c r="A151" s="284"/>
      <c r="B151" s="284"/>
      <c r="C151" s="284"/>
      <c r="D151" s="284"/>
      <c r="E151" s="284"/>
      <c r="F151" s="284"/>
      <c r="G151" s="284"/>
      <c r="H151" s="284"/>
      <c r="I151" s="284"/>
      <c r="J151" s="284"/>
      <c r="K151" s="284"/>
      <c r="L151" s="284"/>
      <c r="M151" s="284"/>
      <c r="N151" s="284"/>
    </row>
    <row r="152" spans="1:14" ht="13.2">
      <c r="A152" s="284"/>
      <c r="B152" s="286"/>
      <c r="C152" s="284"/>
      <c r="D152" s="287"/>
      <c r="E152" s="284"/>
      <c r="F152" s="287"/>
      <c r="G152" s="284"/>
      <c r="H152" s="284"/>
      <c r="I152" s="284"/>
      <c r="J152" s="284"/>
      <c r="K152" s="284"/>
      <c r="L152" s="287"/>
      <c r="M152" s="284"/>
      <c r="N152" s="284"/>
    </row>
    <row r="153" spans="1:14" ht="13.2">
      <c r="A153" s="284"/>
      <c r="B153" s="284"/>
      <c r="C153" s="284"/>
      <c r="D153" s="284"/>
      <c r="E153" s="284"/>
      <c r="F153" s="284"/>
      <c r="G153" s="284"/>
      <c r="H153" s="284"/>
      <c r="I153" s="284"/>
      <c r="J153" s="284"/>
      <c r="K153" s="284"/>
      <c r="L153" s="284"/>
      <c r="M153" s="284"/>
      <c r="N153" s="284"/>
    </row>
    <row r="154" spans="1:14" ht="13.2">
      <c r="A154" s="284"/>
      <c r="B154" s="288"/>
      <c r="C154" s="289"/>
      <c r="D154" s="290"/>
      <c r="E154" s="290"/>
      <c r="F154" s="290"/>
      <c r="G154" s="290"/>
      <c r="H154" s="290"/>
      <c r="I154" s="290"/>
      <c r="J154" s="290"/>
      <c r="K154" s="290"/>
      <c r="L154" s="290"/>
      <c r="M154" s="290"/>
      <c r="N154" s="290"/>
    </row>
    <row r="155" spans="1:14" ht="13.2">
      <c r="A155" s="284"/>
      <c r="B155" s="284"/>
      <c r="C155" s="284"/>
      <c r="D155" s="284"/>
      <c r="E155" s="284"/>
      <c r="F155" s="284"/>
      <c r="G155" s="284"/>
      <c r="H155" s="284"/>
      <c r="I155" s="284"/>
      <c r="J155" s="284"/>
      <c r="K155" s="284"/>
      <c r="L155" s="284"/>
      <c r="M155" s="284"/>
      <c r="N155" s="284"/>
    </row>
    <row r="156" spans="1:14" ht="13.2">
      <c r="A156" s="284"/>
      <c r="B156" s="285"/>
      <c r="C156" s="285"/>
      <c r="D156" s="285"/>
      <c r="E156" s="285"/>
      <c r="F156" s="285"/>
      <c r="G156" s="285"/>
      <c r="H156" s="285"/>
      <c r="I156" s="285"/>
      <c r="J156" s="285"/>
      <c r="K156" s="285"/>
      <c r="L156" s="285"/>
      <c r="M156" s="285"/>
      <c r="N156" s="285"/>
    </row>
    <row r="157" spans="1:14" ht="13.2">
      <c r="A157" s="284"/>
      <c r="B157" s="284"/>
      <c r="C157" s="284"/>
      <c r="D157" s="284"/>
      <c r="E157" s="284"/>
      <c r="F157" s="284"/>
      <c r="G157" s="284"/>
      <c r="H157" s="284"/>
      <c r="I157" s="284"/>
      <c r="J157" s="284"/>
      <c r="K157" s="284"/>
      <c r="L157" s="284"/>
      <c r="M157" s="284"/>
      <c r="N157" s="284"/>
    </row>
    <row r="158" spans="1:14" ht="13.2">
      <c r="A158" s="284"/>
      <c r="B158" s="286"/>
      <c r="C158" s="284"/>
      <c r="D158" s="287"/>
      <c r="E158" s="284"/>
      <c r="F158" s="287"/>
      <c r="G158" s="284"/>
      <c r="H158" s="284"/>
      <c r="I158" s="284"/>
      <c r="J158" s="284"/>
      <c r="K158" s="284"/>
      <c r="L158" s="287"/>
      <c r="M158" s="284"/>
      <c r="N158" s="284"/>
    </row>
    <row r="159" spans="1:14" ht="13.2">
      <c r="A159" s="284"/>
      <c r="B159" s="284"/>
      <c r="C159" s="284"/>
      <c r="D159" s="284"/>
      <c r="E159" s="284"/>
      <c r="F159" s="284"/>
      <c r="G159" s="284"/>
      <c r="H159" s="284"/>
      <c r="I159" s="284"/>
      <c r="J159" s="284"/>
      <c r="K159" s="284"/>
      <c r="L159" s="284"/>
      <c r="M159" s="284"/>
      <c r="N159" s="284"/>
    </row>
    <row r="160" spans="1:14" ht="13.2">
      <c r="A160" s="284"/>
      <c r="B160" s="288"/>
      <c r="C160" s="289"/>
      <c r="D160" s="290"/>
      <c r="E160" s="290"/>
      <c r="F160" s="290"/>
      <c r="G160" s="290"/>
      <c r="H160" s="290"/>
      <c r="I160" s="290"/>
      <c r="J160" s="290"/>
      <c r="K160" s="290"/>
      <c r="L160" s="290"/>
      <c r="M160" s="290"/>
      <c r="N160" s="290"/>
    </row>
    <row r="161" spans="1:14" ht="13.2">
      <c r="A161" s="284"/>
      <c r="B161" s="284"/>
      <c r="C161" s="284"/>
      <c r="D161" s="284"/>
      <c r="E161" s="284"/>
      <c r="F161" s="284"/>
      <c r="G161" s="284"/>
      <c r="H161" s="284"/>
      <c r="I161" s="284"/>
      <c r="J161" s="284"/>
      <c r="K161" s="284"/>
      <c r="L161" s="284"/>
      <c r="M161" s="284"/>
      <c r="N161" s="284"/>
    </row>
    <row r="162" spans="1:14" ht="13.2">
      <c r="A162" s="284"/>
      <c r="B162" s="285"/>
      <c r="C162" s="285"/>
      <c r="D162" s="285"/>
      <c r="E162" s="285"/>
      <c r="F162" s="285"/>
      <c r="G162" s="285"/>
      <c r="H162" s="285"/>
      <c r="I162" s="285"/>
      <c r="J162" s="285"/>
      <c r="K162" s="285"/>
      <c r="L162" s="285"/>
      <c r="M162" s="285"/>
      <c r="N162" s="285"/>
    </row>
    <row r="163" spans="1:14" ht="13.2">
      <c r="A163" s="284"/>
      <c r="B163" s="284"/>
      <c r="C163" s="284"/>
      <c r="D163" s="284"/>
      <c r="E163" s="284"/>
      <c r="F163" s="284"/>
      <c r="G163" s="284"/>
      <c r="H163" s="284"/>
      <c r="I163" s="284"/>
      <c r="J163" s="284"/>
      <c r="K163" s="284"/>
      <c r="L163" s="284"/>
      <c r="M163" s="284"/>
      <c r="N163" s="284"/>
    </row>
    <row r="164" spans="1:14" ht="13.2">
      <c r="A164" s="284"/>
      <c r="B164" s="286"/>
      <c r="C164" s="284"/>
      <c r="D164" s="287"/>
      <c r="E164" s="284"/>
      <c r="F164" s="287"/>
      <c r="G164" s="284"/>
      <c r="H164" s="284"/>
      <c r="I164" s="284"/>
      <c r="J164" s="284"/>
      <c r="K164" s="284"/>
      <c r="L164" s="287"/>
      <c r="M164" s="284"/>
      <c r="N164" s="284"/>
    </row>
    <row r="165" spans="1:14" ht="13.2">
      <c r="A165" s="284"/>
      <c r="B165" s="284"/>
      <c r="C165" s="284"/>
      <c r="D165" s="284"/>
      <c r="E165" s="284"/>
      <c r="F165" s="284"/>
      <c r="G165" s="284"/>
      <c r="H165" s="284"/>
      <c r="I165" s="284"/>
      <c r="J165" s="284"/>
      <c r="K165" s="284"/>
      <c r="L165" s="284"/>
      <c r="M165" s="284"/>
      <c r="N165" s="284"/>
    </row>
    <row r="166" spans="1:14" ht="13.2">
      <c r="A166" s="284"/>
      <c r="B166" s="288"/>
      <c r="C166" s="157"/>
      <c r="D166" s="157"/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</row>
    <row r="167" spans="1:14" ht="13.2">
      <c r="A167" s="284"/>
      <c r="B167" s="284"/>
      <c r="C167" s="284"/>
      <c r="D167" s="284"/>
      <c r="E167" s="284"/>
      <c r="F167" s="284"/>
      <c r="G167" s="284"/>
      <c r="H167" s="284"/>
      <c r="I167" s="284"/>
      <c r="J167" s="284"/>
      <c r="K167" s="284"/>
      <c r="L167" s="284"/>
      <c r="M167" s="284"/>
      <c r="N167" s="157"/>
    </row>
    <row r="168" spans="1:14" ht="15" customHeight="1">
      <c r="A168" s="157"/>
      <c r="B168" s="157"/>
      <c r="C168" s="157"/>
      <c r="D168" s="157"/>
      <c r="E168" s="157"/>
      <c r="F168" s="157"/>
      <c r="G168" s="157"/>
      <c r="H168" s="157"/>
      <c r="I168" s="157"/>
      <c r="J168" s="157"/>
      <c r="K168" s="157"/>
      <c r="L168" s="157"/>
      <c r="M168" s="157"/>
      <c r="N168" s="157"/>
    </row>
  </sheetData>
  <autoFilter ref="B8:F9" xr:uid="{00000000-0001-0000-0300-000000000000}">
    <filterColumn colId="1" showButton="0"/>
    <filterColumn colId="2" showButton="0"/>
    <filterColumn colId="3" showButton="0"/>
  </autoFilter>
  <mergeCells count="27">
    <mergeCell ref="C136:N136"/>
    <mergeCell ref="C148:N148"/>
    <mergeCell ref="C154:N154"/>
    <mergeCell ref="C160:N160"/>
    <mergeCell ref="C70:N70"/>
    <mergeCell ref="C76:N76"/>
    <mergeCell ref="C82:N82"/>
    <mergeCell ref="C88:N88"/>
    <mergeCell ref="C94:N94"/>
    <mergeCell ref="C100:N100"/>
    <mergeCell ref="C112:N112"/>
    <mergeCell ref="C51:N51"/>
    <mergeCell ref="C58:N58"/>
    <mergeCell ref="C64:N64"/>
    <mergeCell ref="C118:N118"/>
    <mergeCell ref="C130:N130"/>
    <mergeCell ref="C16:N16"/>
    <mergeCell ref="C23:N23"/>
    <mergeCell ref="C30:N30"/>
    <mergeCell ref="C37:N37"/>
    <mergeCell ref="C44:N44"/>
    <mergeCell ref="C2:D2"/>
    <mergeCell ref="J3:K3"/>
    <mergeCell ref="C8:F8"/>
    <mergeCell ref="K8:L8"/>
    <mergeCell ref="C9:F9"/>
    <mergeCell ref="K9:N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AF5C0-A414-4AD2-89BA-40001066B584}">
  <dimension ref="A3:K36"/>
  <sheetViews>
    <sheetView workbookViewId="0"/>
  </sheetViews>
  <sheetFormatPr baseColWidth="10" defaultRowHeight="13.2"/>
  <cols>
    <col min="7" max="7" width="24.33203125" customWidth="1"/>
    <col min="11" max="11" width="19.44140625" customWidth="1"/>
  </cols>
  <sheetData>
    <row r="3" spans="1:11">
      <c r="B3" s="91" t="s">
        <v>258</v>
      </c>
    </row>
    <row r="4" spans="1:11" ht="13.8" thickBot="1">
      <c r="A4" t="s">
        <v>117</v>
      </c>
    </row>
    <row r="5" spans="1:11" ht="27.6">
      <c r="A5" s="4" t="s">
        <v>0</v>
      </c>
      <c r="B5" s="97" t="s">
        <v>188</v>
      </c>
      <c r="C5" s="98"/>
      <c r="D5" s="98"/>
      <c r="E5" s="99"/>
      <c r="F5" s="5"/>
      <c r="G5" s="6" t="s">
        <v>1</v>
      </c>
    </row>
    <row r="6" spans="1:11" ht="14.4" thickBot="1">
      <c r="A6" s="7" t="s">
        <v>2</v>
      </c>
      <c r="B6" s="102" t="s">
        <v>3</v>
      </c>
      <c r="C6" s="103"/>
      <c r="D6" s="103"/>
      <c r="E6" s="104"/>
      <c r="F6" s="8"/>
      <c r="G6" s="9" t="s">
        <v>4</v>
      </c>
    </row>
    <row r="8" spans="1:11" ht="15.6">
      <c r="A8" s="297" t="s">
        <v>118</v>
      </c>
      <c r="B8" s="297" t="s">
        <v>119</v>
      </c>
      <c r="C8" s="297" t="s">
        <v>110</v>
      </c>
      <c r="F8" s="295" t="s">
        <v>118</v>
      </c>
      <c r="G8" s="295" t="s">
        <v>119</v>
      </c>
      <c r="H8" s="295" t="s">
        <v>120</v>
      </c>
      <c r="J8" s="181" t="s">
        <v>63</v>
      </c>
      <c r="K8" s="180" t="s">
        <v>140</v>
      </c>
    </row>
    <row r="9" spans="1:11" ht="15.6">
      <c r="A9" s="298">
        <v>1</v>
      </c>
      <c r="B9" s="298">
        <v>5</v>
      </c>
      <c r="C9" s="298">
        <v>124</v>
      </c>
      <c r="F9" s="296">
        <v>1</v>
      </c>
      <c r="G9" s="296">
        <v>3</v>
      </c>
      <c r="H9" s="296">
        <f>'Tabla 6.4-6.5 Estimación tamaño'!$C$10</f>
        <v>132</v>
      </c>
      <c r="J9" s="171">
        <v>1</v>
      </c>
      <c r="K9" s="172" t="s">
        <v>141</v>
      </c>
    </row>
    <row r="10" spans="1:11" ht="15.6">
      <c r="A10" s="298">
        <v>2</v>
      </c>
      <c r="B10" s="298">
        <v>10</v>
      </c>
      <c r="C10" s="298">
        <v>194</v>
      </c>
      <c r="F10" s="296">
        <v>2</v>
      </c>
      <c r="G10" s="296">
        <v>5</v>
      </c>
      <c r="H10" s="296">
        <f>'Tabla 6.4-6.5 Estimación tamaño'!$C$11</f>
        <v>203</v>
      </c>
      <c r="J10" s="173">
        <v>2</v>
      </c>
      <c r="K10" s="174" t="s">
        <v>142</v>
      </c>
    </row>
    <row r="11" spans="1:11" ht="15.6">
      <c r="A11" s="298">
        <v>3</v>
      </c>
      <c r="B11" s="298">
        <v>3</v>
      </c>
      <c r="C11" s="298">
        <v>48</v>
      </c>
      <c r="F11" s="296">
        <v>3</v>
      </c>
      <c r="G11" s="296">
        <v>1</v>
      </c>
      <c r="H11" s="296">
        <f>'Tabla 6.4-6.5 Estimación tamaño'!$C$13</f>
        <v>52</v>
      </c>
      <c r="J11" s="173">
        <v>3</v>
      </c>
      <c r="K11" s="174" t="s">
        <v>143</v>
      </c>
    </row>
    <row r="12" spans="1:11" ht="15.6">
      <c r="A12" s="298">
        <v>4</v>
      </c>
      <c r="B12" s="298">
        <v>2</v>
      </c>
      <c r="C12" s="298">
        <v>35</v>
      </c>
      <c r="F12" s="296">
        <v>4</v>
      </c>
      <c r="G12" s="296">
        <v>0</v>
      </c>
      <c r="H12" s="296">
        <f>'Tabla 6.4-6.5 Estimación tamaño'!$C$15</f>
        <v>49</v>
      </c>
      <c r="J12" s="173">
        <v>4</v>
      </c>
      <c r="K12" s="175" t="s">
        <v>144</v>
      </c>
    </row>
    <row r="13" spans="1:11" ht="15.6">
      <c r="A13" s="298">
        <v>5</v>
      </c>
      <c r="B13" s="298">
        <v>6</v>
      </c>
      <c r="C13" s="298">
        <v>22</v>
      </c>
      <c r="F13" s="296">
        <v>5</v>
      </c>
      <c r="G13" s="296">
        <v>0</v>
      </c>
      <c r="H13" s="296">
        <f>'Tabla 6.4-6.5 Estimación tamaño'!$C$16</f>
        <v>28</v>
      </c>
      <c r="J13" s="173">
        <v>5</v>
      </c>
      <c r="K13" s="176" t="s">
        <v>145</v>
      </c>
    </row>
    <row r="14" spans="1:11" ht="15.6">
      <c r="A14" s="298">
        <v>6</v>
      </c>
      <c r="B14" s="298">
        <v>1</v>
      </c>
      <c r="C14" s="298">
        <v>46</v>
      </c>
      <c r="F14" s="296">
        <v>6</v>
      </c>
      <c r="G14" s="296">
        <v>0</v>
      </c>
      <c r="H14" s="296">
        <f>'Tabla 6.4-6.5 Estimación tamaño'!$C$18</f>
        <v>63</v>
      </c>
      <c r="J14" s="173">
        <v>6</v>
      </c>
      <c r="K14" s="174" t="s">
        <v>146</v>
      </c>
    </row>
    <row r="15" spans="1:11" ht="15.6">
      <c r="A15" s="298">
        <v>7</v>
      </c>
      <c r="B15" s="298">
        <v>4</v>
      </c>
      <c r="C15" s="298">
        <v>145</v>
      </c>
      <c r="F15" s="296">
        <v>7</v>
      </c>
      <c r="G15" s="296">
        <v>4</v>
      </c>
      <c r="H15" s="296">
        <f>'Tabla 6.4-6.5 Estimación tamaño'!H20</f>
        <v>162</v>
      </c>
      <c r="J15" s="173">
        <v>7</v>
      </c>
      <c r="K15" s="174" t="s">
        <v>147</v>
      </c>
    </row>
    <row r="16" spans="1:11" ht="15.6">
      <c r="A16" s="298">
        <v>8</v>
      </c>
      <c r="B16" s="298">
        <v>0</v>
      </c>
      <c r="C16" s="298">
        <v>24</v>
      </c>
      <c r="F16" s="296">
        <v>8</v>
      </c>
      <c r="G16" s="296">
        <v>0</v>
      </c>
      <c r="H16" s="296">
        <f>'Tabla 6.4-6.5 Estimación tamaño'!H21</f>
        <v>32</v>
      </c>
      <c r="J16" s="173">
        <v>8</v>
      </c>
      <c r="K16" s="174" t="s">
        <v>148</v>
      </c>
    </row>
    <row r="17" spans="1:11" ht="15.6">
      <c r="A17" s="298">
        <v>9</v>
      </c>
      <c r="B17" s="298">
        <v>0</v>
      </c>
      <c r="C17" s="298">
        <v>8</v>
      </c>
      <c r="F17" s="296">
        <v>9</v>
      </c>
      <c r="G17" s="296">
        <v>0</v>
      </c>
      <c r="H17" s="296">
        <f>'Tabla 6.4-6.5 Estimación tamaño'!H22</f>
        <v>14</v>
      </c>
      <c r="J17" s="173">
        <v>9</v>
      </c>
      <c r="K17" s="174" t="s">
        <v>149</v>
      </c>
    </row>
    <row r="18" spans="1:11" ht="15.6">
      <c r="A18" s="298">
        <v>10</v>
      </c>
      <c r="B18" s="298">
        <v>0</v>
      </c>
      <c r="C18" s="298">
        <v>24</v>
      </c>
      <c r="F18" s="296">
        <v>10</v>
      </c>
      <c r="G18" s="296">
        <v>0</v>
      </c>
      <c r="H18" s="296">
        <f>'Tabla 6.4-6.5 Estimación tamaño'!H23</f>
        <v>24</v>
      </c>
      <c r="J18" s="173">
        <v>10</v>
      </c>
      <c r="K18" s="174" t="s">
        <v>150</v>
      </c>
    </row>
    <row r="19" spans="1:11" ht="15.6">
      <c r="A19" s="298">
        <v>11</v>
      </c>
      <c r="B19" s="298">
        <v>2</v>
      </c>
      <c r="C19" s="298">
        <v>23</v>
      </c>
      <c r="F19" s="296">
        <v>11</v>
      </c>
      <c r="G19" s="296">
        <v>1</v>
      </c>
      <c r="H19" s="296">
        <f>'Tabla 6.4-6.5 Estimación tamaño'!H24</f>
        <v>23</v>
      </c>
      <c r="J19" s="173">
        <v>11</v>
      </c>
      <c r="K19" s="174" t="s">
        <v>151</v>
      </c>
    </row>
    <row r="20" spans="1:11" ht="15.6">
      <c r="A20" s="298">
        <v>12</v>
      </c>
      <c r="B20" s="298">
        <v>5</v>
      </c>
      <c r="C20" s="298">
        <v>2</v>
      </c>
      <c r="F20" s="296">
        <v>12</v>
      </c>
      <c r="G20" s="296">
        <v>0</v>
      </c>
      <c r="H20" s="296">
        <f>'Tabla 6.4-6.5 Estimación tamaño'!H25</f>
        <v>5</v>
      </c>
      <c r="J20" s="177">
        <v>12</v>
      </c>
      <c r="K20" s="178" t="s">
        <v>152</v>
      </c>
    </row>
    <row r="22" spans="1:11">
      <c r="A22" t="s">
        <v>121</v>
      </c>
      <c r="B22">
        <f>SUM(B9:B20)</f>
        <v>38</v>
      </c>
      <c r="C22" s="93">
        <f>SUM(C9:C20)</f>
        <v>695</v>
      </c>
      <c r="F22" t="s">
        <v>121</v>
      </c>
      <c r="G22" s="93">
        <f>SUM(G9:G20)</f>
        <v>14</v>
      </c>
      <c r="H22" s="93">
        <f>SUM(H9:H20)</f>
        <v>787</v>
      </c>
      <c r="J22" s="301">
        <f>H22-C22</f>
        <v>92</v>
      </c>
    </row>
    <row r="24" spans="1:11">
      <c r="A24" t="s">
        <v>124</v>
      </c>
      <c r="B24" s="90">
        <f>(B22/C22)*1000</f>
        <v>54.676258992805749</v>
      </c>
      <c r="C24" t="s">
        <v>123</v>
      </c>
      <c r="F24" t="s">
        <v>122</v>
      </c>
      <c r="G24" s="90">
        <f>(G22/H22)*1000</f>
        <v>17.789072426937739</v>
      </c>
      <c r="H24" t="s">
        <v>123</v>
      </c>
    </row>
    <row r="26" spans="1:11">
      <c r="A26" t="s">
        <v>125</v>
      </c>
      <c r="C26">
        <f>B22</f>
        <v>38</v>
      </c>
      <c r="F26" t="s">
        <v>126</v>
      </c>
      <c r="H26">
        <f>G22</f>
        <v>14</v>
      </c>
    </row>
    <row r="28" spans="1:11">
      <c r="A28" t="s">
        <v>261</v>
      </c>
      <c r="C28">
        <f>(J22*B24)/1000</f>
        <v>5.0302158273381288</v>
      </c>
      <c r="E28" s="93"/>
    </row>
    <row r="30" spans="1:11">
      <c r="A30" s="300" t="s">
        <v>127</v>
      </c>
      <c r="B30" s="296"/>
      <c r="C30" s="296"/>
      <c r="D30" s="296"/>
      <c r="E30" s="296"/>
      <c r="F30" s="296"/>
      <c r="G30" s="296"/>
      <c r="H30" s="296"/>
      <c r="I30" s="296"/>
      <c r="J30" s="296"/>
    </row>
    <row r="31" spans="1:11">
      <c r="A31" t="s">
        <v>259</v>
      </c>
    </row>
    <row r="32" spans="1:11">
      <c r="A32" t="s">
        <v>260</v>
      </c>
    </row>
    <row r="33" spans="1:10">
      <c r="A33" s="91" t="s">
        <v>265</v>
      </c>
    </row>
    <row r="34" spans="1:10">
      <c r="A34" t="s">
        <v>262</v>
      </c>
    </row>
    <row r="35" spans="1:10">
      <c r="A35" s="91" t="s">
        <v>266</v>
      </c>
    </row>
    <row r="36" spans="1:10">
      <c r="A36" s="296"/>
      <c r="B36" s="296"/>
      <c r="C36" s="296"/>
      <c r="D36" s="296"/>
      <c r="E36" s="296"/>
      <c r="F36" s="296"/>
      <c r="G36" s="296"/>
      <c r="H36" s="296"/>
      <c r="I36" s="296"/>
      <c r="J36" s="296"/>
    </row>
  </sheetData>
  <mergeCells count="2">
    <mergeCell ref="B5:E5"/>
    <mergeCell ref="B6:E6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80BFD-36C2-4820-9BFB-D5D9CF77F5C0}">
  <dimension ref="B2:M44"/>
  <sheetViews>
    <sheetView tabSelected="1" zoomScaleNormal="100" workbookViewId="0"/>
  </sheetViews>
  <sheetFormatPr baseColWidth="10" defaultRowHeight="13.2"/>
  <cols>
    <col min="2" max="2" width="2.109375" customWidth="1"/>
    <col min="3" max="3" width="22.88671875" customWidth="1"/>
    <col min="7" max="7" width="16.6640625" customWidth="1"/>
  </cols>
  <sheetData>
    <row r="2" spans="2:13">
      <c r="B2" s="129" t="s">
        <v>107</v>
      </c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</row>
    <row r="3" spans="2:13"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</row>
    <row r="4" spans="2:13" ht="13.8">
      <c r="B4" s="88" t="s">
        <v>106</v>
      </c>
      <c r="C4" s="87"/>
      <c r="D4" s="212" t="s">
        <v>129</v>
      </c>
      <c r="E4" s="89"/>
      <c r="F4" s="89"/>
      <c r="G4" s="89"/>
      <c r="H4" s="86" t="s">
        <v>105</v>
      </c>
      <c r="I4" s="127" t="s">
        <v>104</v>
      </c>
      <c r="J4" s="125"/>
      <c r="K4" s="125"/>
      <c r="L4" s="125"/>
      <c r="M4" s="128"/>
    </row>
    <row r="5" spans="2:13" ht="13.8">
      <c r="B5" s="88" t="s">
        <v>103</v>
      </c>
      <c r="C5" s="87"/>
      <c r="D5" s="215" t="s">
        <v>264</v>
      </c>
      <c r="E5" s="126"/>
      <c r="F5" s="126"/>
      <c r="G5" s="126"/>
      <c r="H5" s="86" t="s">
        <v>102</v>
      </c>
      <c r="I5" s="127">
        <v>1</v>
      </c>
      <c r="J5" s="125"/>
      <c r="K5" s="125"/>
      <c r="L5" s="125"/>
      <c r="M5" s="128"/>
    </row>
    <row r="6" spans="2:13" ht="13.8">
      <c r="B6" s="88" t="s">
        <v>2</v>
      </c>
      <c r="C6" s="87"/>
      <c r="D6" s="126" t="s">
        <v>101</v>
      </c>
      <c r="E6" s="126"/>
      <c r="F6" s="126"/>
      <c r="G6" s="126"/>
      <c r="H6" s="86" t="s">
        <v>100</v>
      </c>
      <c r="I6" s="216" t="s">
        <v>131</v>
      </c>
      <c r="J6" s="125"/>
      <c r="K6" s="125"/>
      <c r="L6" s="125"/>
      <c r="M6" s="128"/>
    </row>
    <row r="7" spans="2:13"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</row>
    <row r="8" spans="2:13" ht="13.8">
      <c r="B8" s="142" t="s">
        <v>99</v>
      </c>
      <c r="C8" s="142"/>
      <c r="D8" s="140" t="s">
        <v>82</v>
      </c>
      <c r="E8" s="140"/>
      <c r="F8" s="140"/>
      <c r="G8" s="140" t="s">
        <v>37</v>
      </c>
      <c r="H8" s="140"/>
      <c r="I8" s="140"/>
      <c r="J8" s="140"/>
      <c r="K8" s="137" t="s">
        <v>81</v>
      </c>
      <c r="L8" s="138"/>
      <c r="M8" s="139"/>
    </row>
    <row r="9" spans="2:13">
      <c r="B9" s="84"/>
      <c r="C9" s="83" t="s">
        <v>98</v>
      </c>
      <c r="D9" s="130">
        <f>'Tabla 6.4-6.5 Estimación tamaño'!$C$30</f>
        <v>0.81693648816936493</v>
      </c>
      <c r="E9" s="131"/>
      <c r="F9" s="132"/>
      <c r="G9" s="130">
        <f>'Tabla 6.4-6.5 Estimación tamaño'!$C$29</f>
        <v>0.85778331257783325</v>
      </c>
      <c r="H9" s="131"/>
      <c r="I9" s="131"/>
      <c r="J9" s="132"/>
      <c r="K9" s="130">
        <f>AVERAGE(D9:J9)</f>
        <v>0.83735990037359909</v>
      </c>
      <c r="L9" s="131"/>
      <c r="M9" s="132"/>
    </row>
    <row r="10" spans="2:13">
      <c r="B10" s="84"/>
      <c r="C10" s="83" t="s">
        <v>97</v>
      </c>
      <c r="D10" s="130">
        <f>'Tabla 6.4-6.5 Estimación tamaño'!$H$30</f>
        <v>73.445121951219505</v>
      </c>
      <c r="E10" s="131"/>
      <c r="F10" s="132"/>
      <c r="G10" s="130">
        <f>'Tabla 6.4-6.5 Estimación tamaño'!$I$30</f>
        <v>69.947735191637634</v>
      </c>
      <c r="H10" s="131"/>
      <c r="I10" s="131"/>
      <c r="J10" s="132"/>
      <c r="K10" s="130">
        <f>AVERAGE(D10:J10)</f>
        <v>71.696428571428569</v>
      </c>
      <c r="L10" s="131"/>
      <c r="M10" s="132"/>
    </row>
    <row r="11" spans="2:13">
      <c r="B11" s="84"/>
      <c r="C11" s="83" t="s">
        <v>96</v>
      </c>
      <c r="D11" s="130">
        <f>'Tabla 15.1 Cálculo Defectos'!B24</f>
        <v>54.676258992805749</v>
      </c>
      <c r="E11" s="133"/>
      <c r="F11" s="134"/>
      <c r="G11" s="130">
        <f>'Tabla 15.1 Cálculo Defectos'!$G$24</f>
        <v>17.789072426937739</v>
      </c>
      <c r="H11" s="133"/>
      <c r="I11" s="133"/>
      <c r="J11" s="134"/>
      <c r="K11" s="130">
        <f>AVERAGE(D11:J11)</f>
        <v>36.232665709871746</v>
      </c>
      <c r="L11" s="131"/>
      <c r="M11" s="132"/>
    </row>
    <row r="12" spans="2:13" ht="13.8">
      <c r="B12" s="84"/>
      <c r="C12" s="85" t="s">
        <v>95</v>
      </c>
      <c r="D12" s="128"/>
      <c r="E12" s="126"/>
      <c r="F12" s="126"/>
      <c r="G12" s="126"/>
      <c r="H12" s="126"/>
      <c r="I12" s="126"/>
      <c r="J12" s="126"/>
      <c r="K12" s="126"/>
      <c r="L12" s="126"/>
      <c r="M12" s="126"/>
    </row>
    <row r="13" spans="2:13" ht="13.8">
      <c r="B13" s="84"/>
      <c r="C13" s="85" t="s">
        <v>94</v>
      </c>
      <c r="D13" s="128"/>
      <c r="E13" s="126"/>
      <c r="F13" s="126"/>
      <c r="G13" s="126"/>
      <c r="H13" s="126"/>
      <c r="I13" s="126"/>
      <c r="J13" s="126"/>
      <c r="K13" s="126"/>
      <c r="L13" s="126"/>
      <c r="M13" s="126"/>
    </row>
    <row r="14" spans="2:13" ht="13.8">
      <c r="B14" s="143" t="s">
        <v>93</v>
      </c>
      <c r="C14" s="143"/>
      <c r="D14" s="127"/>
      <c r="E14" s="125"/>
      <c r="F14" s="125"/>
      <c r="G14" s="125"/>
      <c r="H14" s="125"/>
      <c r="I14" s="125"/>
      <c r="J14" s="125"/>
      <c r="K14" s="125"/>
      <c r="L14" s="125"/>
      <c r="M14" s="128"/>
    </row>
    <row r="15" spans="2:13">
      <c r="B15" s="84"/>
      <c r="C15" s="83" t="s">
        <v>92</v>
      </c>
      <c r="D15" s="128">
        <f>'Tabla 15.1 Cálculo Defectos'!$C$22</f>
        <v>695</v>
      </c>
      <c r="E15" s="126"/>
      <c r="F15" s="126"/>
      <c r="G15" s="126">
        <f>'Tabla 15.1 Cálculo Defectos'!$H$22</f>
        <v>787</v>
      </c>
      <c r="H15" s="126"/>
      <c r="I15" s="126"/>
      <c r="J15" s="126"/>
      <c r="K15" s="126">
        <f>AVERAGE(D15:J15)</f>
        <v>741</v>
      </c>
      <c r="L15" s="126"/>
      <c r="M15" s="126"/>
    </row>
    <row r="16" spans="2:13">
      <c r="B16" s="82"/>
      <c r="C16" s="81" t="s">
        <v>91</v>
      </c>
      <c r="D16" s="128">
        <f>G15+(G15*0.1)</f>
        <v>865.7</v>
      </c>
      <c r="E16" s="126"/>
      <c r="F16" s="126"/>
      <c r="G16" s="126"/>
      <c r="H16" s="126"/>
      <c r="I16" s="126"/>
      <c r="J16" s="126"/>
      <c r="K16" s="126"/>
      <c r="L16" s="126"/>
      <c r="M16" s="126"/>
    </row>
    <row r="17" spans="2:13">
      <c r="B17" s="82"/>
      <c r="C17" s="81" t="s">
        <v>90</v>
      </c>
      <c r="D17" s="128">
        <f>G15-(G15*0.1)</f>
        <v>708.3</v>
      </c>
      <c r="E17" s="126"/>
      <c r="F17" s="126"/>
      <c r="G17" s="126"/>
      <c r="H17" s="126"/>
      <c r="I17" s="126"/>
      <c r="J17" s="126"/>
      <c r="K17" s="126"/>
      <c r="L17" s="126"/>
      <c r="M17" s="126"/>
    </row>
    <row r="18" spans="2:13" ht="13.8">
      <c r="B18" s="143" t="s">
        <v>89</v>
      </c>
      <c r="C18" s="143"/>
      <c r="D18" s="140" t="s">
        <v>82</v>
      </c>
      <c r="E18" s="140"/>
      <c r="F18" s="140" t="s">
        <v>37</v>
      </c>
      <c r="G18" s="140"/>
      <c r="H18" s="140"/>
      <c r="I18" s="140" t="s">
        <v>81</v>
      </c>
      <c r="J18" s="140"/>
      <c r="K18" s="140"/>
      <c r="L18" s="140" t="s">
        <v>80</v>
      </c>
      <c r="M18" s="140"/>
    </row>
    <row r="19" spans="2:13">
      <c r="B19" s="84"/>
      <c r="C19" s="83" t="s">
        <v>78</v>
      </c>
      <c r="D19" s="128">
        <v>15</v>
      </c>
      <c r="E19" s="126"/>
      <c r="F19" s="144">
        <v>10</v>
      </c>
      <c r="G19" s="144"/>
      <c r="H19" s="144"/>
      <c r="I19" s="126">
        <f>AVERAGE(D19:H19)</f>
        <v>12.5</v>
      </c>
      <c r="J19" s="126"/>
      <c r="K19" s="126"/>
      <c r="L19" s="141">
        <f>(I19/I26)*100</f>
        <v>3.3602150537634405</v>
      </c>
      <c r="M19" s="141"/>
    </row>
    <row r="20" spans="2:13">
      <c r="B20" s="82"/>
      <c r="C20" s="81" t="s">
        <v>47</v>
      </c>
      <c r="D20" s="128">
        <v>52</v>
      </c>
      <c r="E20" s="126"/>
      <c r="F20" s="126">
        <v>35</v>
      </c>
      <c r="G20" s="126"/>
      <c r="H20" s="126"/>
      <c r="I20" s="126">
        <f t="shared" ref="I20:I26" si="0">AVERAGE(D20:H20)</f>
        <v>43.5</v>
      </c>
      <c r="J20" s="126"/>
      <c r="K20" s="126"/>
      <c r="L20" s="135">
        <f>(I20/I26)*100</f>
        <v>11.693548387096774</v>
      </c>
      <c r="M20" s="136"/>
    </row>
    <row r="21" spans="2:13">
      <c r="B21" s="82"/>
      <c r="C21" s="81" t="s">
        <v>45</v>
      </c>
      <c r="D21" s="128">
        <v>168</v>
      </c>
      <c r="E21" s="126"/>
      <c r="F21" s="126">
        <v>140</v>
      </c>
      <c r="G21" s="126"/>
      <c r="H21" s="126"/>
      <c r="I21" s="126">
        <f t="shared" si="0"/>
        <v>154</v>
      </c>
      <c r="J21" s="126"/>
      <c r="K21" s="126"/>
      <c r="L21" s="135">
        <f>(I21/I26)*100</f>
        <v>41.397849462365592</v>
      </c>
      <c r="M21" s="136"/>
    </row>
    <row r="22" spans="2:13">
      <c r="B22" s="82"/>
      <c r="C22" s="81" t="s">
        <v>77</v>
      </c>
      <c r="D22" s="128">
        <v>45</v>
      </c>
      <c r="E22" s="126"/>
      <c r="F22" s="126">
        <v>22</v>
      </c>
      <c r="G22" s="126"/>
      <c r="H22" s="126"/>
      <c r="I22" s="126">
        <f t="shared" si="0"/>
        <v>33.5</v>
      </c>
      <c r="J22" s="126"/>
      <c r="K22" s="126"/>
      <c r="L22" s="135">
        <f>(I22/I26)*100</f>
        <v>9.0053763440860219</v>
      </c>
      <c r="M22" s="136"/>
    </row>
    <row r="23" spans="2:13">
      <c r="B23" s="82"/>
      <c r="C23" s="81" t="s">
        <v>76</v>
      </c>
      <c r="D23" s="128">
        <v>40</v>
      </c>
      <c r="E23" s="126"/>
      <c r="F23" s="126">
        <v>25</v>
      </c>
      <c r="G23" s="126"/>
      <c r="H23" s="126"/>
      <c r="I23" s="126">
        <f t="shared" si="0"/>
        <v>32.5</v>
      </c>
      <c r="J23" s="126"/>
      <c r="K23" s="126"/>
      <c r="L23" s="135">
        <f>(I23/I26)*100</f>
        <v>8.736559139784946</v>
      </c>
      <c r="M23" s="136"/>
    </row>
    <row r="24" spans="2:13">
      <c r="B24" s="82"/>
      <c r="C24" s="81" t="s">
        <v>74</v>
      </c>
      <c r="D24" s="128">
        <v>60</v>
      </c>
      <c r="E24" s="126"/>
      <c r="F24" s="126">
        <v>60</v>
      </c>
      <c r="G24" s="126"/>
      <c r="H24" s="126"/>
      <c r="I24" s="126">
        <f t="shared" si="0"/>
        <v>60</v>
      </c>
      <c r="J24" s="126"/>
      <c r="K24" s="126"/>
      <c r="L24" s="135">
        <f>(I24/I26)*100</f>
        <v>16.129032258064516</v>
      </c>
      <c r="M24" s="136"/>
    </row>
    <row r="25" spans="2:13">
      <c r="B25" s="82"/>
      <c r="C25" s="81" t="s">
        <v>88</v>
      </c>
      <c r="D25" s="128">
        <v>42</v>
      </c>
      <c r="E25" s="126"/>
      <c r="F25" s="126">
        <v>30</v>
      </c>
      <c r="G25" s="126"/>
      <c r="H25" s="126"/>
      <c r="I25" s="126">
        <f t="shared" si="0"/>
        <v>36</v>
      </c>
      <c r="J25" s="126"/>
      <c r="K25" s="126"/>
      <c r="L25" s="135">
        <f>(I25/I26)*100</f>
        <v>9.67741935483871</v>
      </c>
      <c r="M25" s="136"/>
    </row>
    <row r="26" spans="2:13">
      <c r="B26" s="82"/>
      <c r="C26" s="81" t="s">
        <v>84</v>
      </c>
      <c r="D26" s="128">
        <f>SUM(D19:E25)</f>
        <v>422</v>
      </c>
      <c r="E26" s="126"/>
      <c r="F26" s="127">
        <f>SUM(F19:H25)</f>
        <v>322</v>
      </c>
      <c r="G26" s="125"/>
      <c r="H26" s="128"/>
      <c r="I26" s="126">
        <f t="shared" si="0"/>
        <v>372</v>
      </c>
      <c r="J26" s="126"/>
      <c r="K26" s="126"/>
      <c r="L26" s="135">
        <f>SUM(L19:M25)</f>
        <v>99.999999999999986</v>
      </c>
      <c r="M26" s="128"/>
    </row>
    <row r="27" spans="2:13">
      <c r="B27" s="82"/>
      <c r="C27" s="81" t="s">
        <v>87</v>
      </c>
      <c r="D27" s="128">
        <f>D26+20</f>
        <v>442</v>
      </c>
      <c r="E27" s="126"/>
      <c r="F27" s="127"/>
      <c r="G27" s="125"/>
      <c r="H27" s="128"/>
      <c r="I27" s="126"/>
      <c r="J27" s="126"/>
      <c r="K27" s="126"/>
      <c r="L27" s="126"/>
      <c r="M27" s="126"/>
    </row>
    <row r="28" spans="2:13">
      <c r="B28" s="82"/>
      <c r="C28" s="81" t="s">
        <v>86</v>
      </c>
      <c r="D28" s="128">
        <f>D26-20</f>
        <v>402</v>
      </c>
      <c r="E28" s="126"/>
      <c r="F28" s="126"/>
      <c r="G28" s="126"/>
      <c r="H28" s="126"/>
      <c r="I28" s="126"/>
      <c r="J28" s="126"/>
      <c r="K28" s="126"/>
      <c r="L28" s="126"/>
      <c r="M28" s="126"/>
    </row>
    <row r="29" spans="2:13" ht="13.8">
      <c r="B29" s="143" t="s">
        <v>85</v>
      </c>
      <c r="C29" s="143"/>
      <c r="D29" s="140" t="s">
        <v>82</v>
      </c>
      <c r="E29" s="140"/>
      <c r="F29" s="140" t="s">
        <v>37</v>
      </c>
      <c r="G29" s="140"/>
      <c r="H29" s="140" t="s">
        <v>81</v>
      </c>
      <c r="I29" s="140"/>
      <c r="J29" s="140" t="s">
        <v>80</v>
      </c>
      <c r="K29" s="140"/>
      <c r="L29" s="140" t="s">
        <v>79</v>
      </c>
      <c r="M29" s="140"/>
    </row>
    <row r="30" spans="2:13">
      <c r="B30" s="84"/>
      <c r="C30" s="83" t="s">
        <v>78</v>
      </c>
      <c r="D30" s="128">
        <v>5</v>
      </c>
      <c r="E30" s="126"/>
      <c r="F30" s="144">
        <v>5</v>
      </c>
      <c r="G30" s="144"/>
      <c r="H30" s="126">
        <f>AVERAGE(D30:G30)</f>
        <v>5</v>
      </c>
      <c r="I30" s="126"/>
      <c r="J30" s="141">
        <f>(H30/H36)*100</f>
        <v>12.195121951219512</v>
      </c>
      <c r="K30" s="141"/>
      <c r="L30" s="141">
        <f>F30/F19</f>
        <v>0.5</v>
      </c>
      <c r="M30" s="141"/>
    </row>
    <row r="31" spans="2:13">
      <c r="B31" s="82"/>
      <c r="C31" s="81" t="s">
        <v>47</v>
      </c>
      <c r="D31" s="128">
        <v>2</v>
      </c>
      <c r="E31" s="126"/>
      <c r="F31" s="126">
        <v>3</v>
      </c>
      <c r="G31" s="126"/>
      <c r="H31" s="126">
        <f t="shared" ref="H31:H35" si="1">AVERAGE(D31:G31)</f>
        <v>2.5</v>
      </c>
      <c r="I31" s="126"/>
      <c r="J31" s="141">
        <f>(H31/H36)*100</f>
        <v>6.0975609756097562</v>
      </c>
      <c r="K31" s="141"/>
      <c r="L31" s="141">
        <f t="shared" ref="L31:L35" si="2">F31/F20</f>
        <v>8.5714285714285715E-2</v>
      </c>
      <c r="M31" s="141"/>
    </row>
    <row r="32" spans="2:13">
      <c r="B32" s="82"/>
      <c r="C32" s="81" t="s">
        <v>45</v>
      </c>
      <c r="D32" s="128">
        <v>15</v>
      </c>
      <c r="E32" s="126"/>
      <c r="F32" s="126">
        <v>20</v>
      </c>
      <c r="G32" s="126"/>
      <c r="H32" s="126">
        <f t="shared" si="1"/>
        <v>17.5</v>
      </c>
      <c r="I32" s="126"/>
      <c r="J32" s="141">
        <f>(H32/H36)*100</f>
        <v>42.68292682926829</v>
      </c>
      <c r="K32" s="141"/>
      <c r="L32" s="141">
        <f t="shared" si="2"/>
        <v>0.14285714285714285</v>
      </c>
      <c r="M32" s="141"/>
    </row>
    <row r="33" spans="2:13">
      <c r="B33" s="82"/>
      <c r="C33" s="81" t="s">
        <v>77</v>
      </c>
      <c r="D33" s="128">
        <v>4</v>
      </c>
      <c r="E33" s="126"/>
      <c r="F33" s="126">
        <v>6</v>
      </c>
      <c r="G33" s="126"/>
      <c r="H33" s="126">
        <f t="shared" si="1"/>
        <v>5</v>
      </c>
      <c r="I33" s="126"/>
      <c r="J33" s="141">
        <f>(H33/H36)*100</f>
        <v>12.195121951219512</v>
      </c>
      <c r="K33" s="141"/>
      <c r="L33" s="141">
        <f t="shared" si="2"/>
        <v>0.27272727272727271</v>
      </c>
      <c r="M33" s="141"/>
    </row>
    <row r="34" spans="2:13">
      <c r="B34" s="82"/>
      <c r="C34" s="81" t="s">
        <v>76</v>
      </c>
      <c r="D34" s="128">
        <v>3</v>
      </c>
      <c r="E34" s="126"/>
      <c r="F34" s="126">
        <v>5</v>
      </c>
      <c r="G34" s="126"/>
      <c r="H34" s="126">
        <f t="shared" si="1"/>
        <v>4</v>
      </c>
      <c r="I34" s="126"/>
      <c r="J34" s="141">
        <f>(H34/H36)*100</f>
        <v>9.7560975609756095</v>
      </c>
      <c r="K34" s="141"/>
      <c r="L34" s="141">
        <f t="shared" si="2"/>
        <v>0.2</v>
      </c>
      <c r="M34" s="141"/>
    </row>
    <row r="35" spans="2:13">
      <c r="B35" s="82"/>
      <c r="C35" s="81" t="s">
        <v>74</v>
      </c>
      <c r="D35" s="128">
        <v>6</v>
      </c>
      <c r="E35" s="126"/>
      <c r="F35" s="126">
        <v>8</v>
      </c>
      <c r="G35" s="126"/>
      <c r="H35" s="126">
        <f t="shared" si="1"/>
        <v>7</v>
      </c>
      <c r="I35" s="126"/>
      <c r="J35" s="141">
        <f>(H35/H36)*100</f>
        <v>17.073170731707318</v>
      </c>
      <c r="K35" s="141"/>
      <c r="L35" s="141">
        <f t="shared" si="2"/>
        <v>0.13333333333333333</v>
      </c>
      <c r="M35" s="141"/>
    </row>
    <row r="36" spans="2:13">
      <c r="B36" s="82"/>
      <c r="C36" s="81" t="s">
        <v>84</v>
      </c>
      <c r="D36" s="128">
        <f>SUM(D30:E35)</f>
        <v>35</v>
      </c>
      <c r="E36" s="126"/>
      <c r="F36" s="126">
        <f>SUM(F30:G35)</f>
        <v>47</v>
      </c>
      <c r="G36" s="126"/>
      <c r="H36" s="126">
        <f>SUM(H30:I35)</f>
        <v>41</v>
      </c>
      <c r="I36" s="126"/>
      <c r="J36" s="126">
        <f>SUM(J30:K35)</f>
        <v>99.999999999999986</v>
      </c>
      <c r="K36" s="126"/>
      <c r="L36" s="127"/>
      <c r="M36" s="128"/>
    </row>
    <row r="37" spans="2:13" ht="13.8">
      <c r="B37" s="143" t="s">
        <v>83</v>
      </c>
      <c r="C37" s="143"/>
      <c r="D37" s="140" t="s">
        <v>82</v>
      </c>
      <c r="E37" s="140"/>
      <c r="F37" s="140" t="s">
        <v>37</v>
      </c>
      <c r="G37" s="140"/>
      <c r="H37" s="140" t="s">
        <v>81</v>
      </c>
      <c r="I37" s="140"/>
      <c r="J37" s="140" t="s">
        <v>80</v>
      </c>
      <c r="K37" s="140"/>
      <c r="L37" s="140" t="s">
        <v>79</v>
      </c>
      <c r="M37" s="140"/>
    </row>
    <row r="38" spans="2:13">
      <c r="B38" s="84"/>
      <c r="C38" s="83" t="s">
        <v>78</v>
      </c>
      <c r="D38" s="128">
        <v>2</v>
      </c>
      <c r="E38" s="126"/>
      <c r="F38" s="126">
        <v>1</v>
      </c>
      <c r="G38" s="126"/>
      <c r="H38" s="126">
        <f>AVERAGE(D38:G38)</f>
        <v>1.5</v>
      </c>
      <c r="I38" s="126"/>
      <c r="J38" s="141">
        <f>(H38/H43)*100</f>
        <v>75</v>
      </c>
      <c r="K38" s="141"/>
      <c r="L38" s="141">
        <f>F38/F19</f>
        <v>0.1</v>
      </c>
      <c r="M38" s="141"/>
    </row>
    <row r="39" spans="2:13">
      <c r="B39" s="82"/>
      <c r="C39" s="81" t="s">
        <v>47</v>
      </c>
      <c r="D39" s="128">
        <v>1</v>
      </c>
      <c r="E39" s="126"/>
      <c r="F39" s="126">
        <v>0</v>
      </c>
      <c r="G39" s="126"/>
      <c r="H39" s="126">
        <f t="shared" ref="H39:H43" si="3">AVERAGE(D39:G39)</f>
        <v>0.5</v>
      </c>
      <c r="I39" s="126"/>
      <c r="J39" s="141">
        <f>(H39/H44)*100</f>
        <v>2.9411764705882351</v>
      </c>
      <c r="K39" s="141"/>
      <c r="L39" s="141">
        <f t="shared" ref="L39:L43" si="4">F39/F20</f>
        <v>0</v>
      </c>
      <c r="M39" s="141"/>
    </row>
    <row r="40" spans="2:13">
      <c r="B40" s="82"/>
      <c r="C40" s="81" t="s">
        <v>45</v>
      </c>
      <c r="D40" s="128">
        <v>10</v>
      </c>
      <c r="E40" s="126"/>
      <c r="F40" s="126">
        <v>8</v>
      </c>
      <c r="G40" s="126"/>
      <c r="H40" s="126">
        <f t="shared" si="3"/>
        <v>9</v>
      </c>
      <c r="I40" s="126"/>
      <c r="J40" s="141">
        <f>(H40*H44)/100</f>
        <v>1.53</v>
      </c>
      <c r="K40" s="141"/>
      <c r="L40" s="141">
        <f t="shared" si="4"/>
        <v>5.7142857142857141E-2</v>
      </c>
      <c r="M40" s="141"/>
    </row>
    <row r="41" spans="2:13">
      <c r="B41" s="82"/>
      <c r="C41" s="81" t="s">
        <v>77</v>
      </c>
      <c r="D41" s="128">
        <v>3</v>
      </c>
      <c r="E41" s="126"/>
      <c r="F41" s="126">
        <v>2</v>
      </c>
      <c r="G41" s="126"/>
      <c r="H41" s="126">
        <f t="shared" si="3"/>
        <v>2.5</v>
      </c>
      <c r="I41" s="126"/>
      <c r="J41" s="141">
        <f>(H41/H44)*100</f>
        <v>14.705882352941178</v>
      </c>
      <c r="K41" s="141"/>
      <c r="L41" s="141">
        <f t="shared" si="4"/>
        <v>9.0909090909090912E-2</v>
      </c>
      <c r="M41" s="141"/>
    </row>
    <row r="42" spans="2:13">
      <c r="B42" s="82"/>
      <c r="C42" s="81" t="s">
        <v>76</v>
      </c>
      <c r="D42" s="128">
        <v>2</v>
      </c>
      <c r="E42" s="126"/>
      <c r="F42" s="126">
        <v>1</v>
      </c>
      <c r="G42" s="126"/>
      <c r="H42" s="126">
        <f t="shared" si="3"/>
        <v>1.5</v>
      </c>
      <c r="I42" s="126"/>
      <c r="J42" s="141">
        <f>(H42/H44)*100</f>
        <v>8.8235294117647065</v>
      </c>
      <c r="K42" s="141"/>
      <c r="L42" s="141">
        <f t="shared" si="4"/>
        <v>0.04</v>
      </c>
      <c r="M42" s="141"/>
    </row>
    <row r="43" spans="2:13">
      <c r="B43" s="82"/>
      <c r="C43" s="81" t="s">
        <v>74</v>
      </c>
      <c r="D43" s="128">
        <v>2</v>
      </c>
      <c r="E43" s="126"/>
      <c r="F43" s="126">
        <v>2</v>
      </c>
      <c r="G43" s="126"/>
      <c r="H43" s="126">
        <f t="shared" si="3"/>
        <v>2</v>
      </c>
      <c r="I43" s="126"/>
      <c r="J43" s="141">
        <f>(H43/H44)*100</f>
        <v>11.76470588235294</v>
      </c>
      <c r="K43" s="141"/>
      <c r="L43" s="141">
        <f t="shared" si="4"/>
        <v>3.3333333333333333E-2</v>
      </c>
      <c r="M43" s="141"/>
    </row>
    <row r="44" spans="2:13">
      <c r="B44" s="82"/>
      <c r="C44" s="81" t="s">
        <v>75</v>
      </c>
      <c r="D44" s="128">
        <f>SUM(D38:E43)</f>
        <v>20</v>
      </c>
      <c r="E44" s="126"/>
      <c r="F44" s="128">
        <f>SUM(F38:G43)</f>
        <v>14</v>
      </c>
      <c r="G44" s="126"/>
      <c r="H44" s="126">
        <f>SUM(H38:I43)</f>
        <v>17</v>
      </c>
      <c r="I44" s="126"/>
      <c r="J44" s="141">
        <f>SUM(J38:K43)</f>
        <v>114.76529411764706</v>
      </c>
      <c r="K44" s="141"/>
      <c r="L44" s="141">
        <f>F44/F25</f>
        <v>0.46666666666666667</v>
      </c>
      <c r="M44" s="141"/>
    </row>
  </sheetData>
  <mergeCells count="165">
    <mergeCell ref="F35:G35"/>
    <mergeCell ref="H35:I35"/>
    <mergeCell ref="J35:K35"/>
    <mergeCell ref="L35:M35"/>
    <mergeCell ref="L26:M26"/>
    <mergeCell ref="D27:E27"/>
    <mergeCell ref="J37:K37"/>
    <mergeCell ref="L37:M37"/>
    <mergeCell ref="F36:G36"/>
    <mergeCell ref="H36:I36"/>
    <mergeCell ref="J36:K36"/>
    <mergeCell ref="L36:M36"/>
    <mergeCell ref="D34:E34"/>
    <mergeCell ref="F34:G34"/>
    <mergeCell ref="D28:E28"/>
    <mergeCell ref="D36:E36"/>
    <mergeCell ref="H34:I34"/>
    <mergeCell ref="J34:K34"/>
    <mergeCell ref="L34:M34"/>
    <mergeCell ref="D35:E35"/>
    <mergeCell ref="F26:H26"/>
    <mergeCell ref="I26:K26"/>
    <mergeCell ref="F27:H27"/>
    <mergeCell ref="I27:K27"/>
    <mergeCell ref="L28:M28"/>
    <mergeCell ref="D18:E18"/>
    <mergeCell ref="F18:H18"/>
    <mergeCell ref="I18:K18"/>
    <mergeCell ref="L18:M18"/>
    <mergeCell ref="D19:E19"/>
    <mergeCell ref="D26:E26"/>
    <mergeCell ref="I19:K19"/>
    <mergeCell ref="L19:M19"/>
    <mergeCell ref="D20:E20"/>
    <mergeCell ref="F20:H20"/>
    <mergeCell ref="I20:K20"/>
    <mergeCell ref="F22:H22"/>
    <mergeCell ref="I22:K22"/>
    <mergeCell ref="F23:H23"/>
    <mergeCell ref="F24:H24"/>
    <mergeCell ref="L20:M20"/>
    <mergeCell ref="F19:H19"/>
    <mergeCell ref="F25:H25"/>
    <mergeCell ref="I25:K25"/>
    <mergeCell ref="F28:H28"/>
    <mergeCell ref="I28:K28"/>
    <mergeCell ref="D33:E33"/>
    <mergeCell ref="F33:G33"/>
    <mergeCell ref="H33:I33"/>
    <mergeCell ref="J33:K33"/>
    <mergeCell ref="L33:M33"/>
    <mergeCell ref="L31:M31"/>
    <mergeCell ref="J29:K29"/>
    <mergeCell ref="L29:M29"/>
    <mergeCell ref="H32:I32"/>
    <mergeCell ref="J32:K32"/>
    <mergeCell ref="L32:M32"/>
    <mergeCell ref="D42:E42"/>
    <mergeCell ref="L42:M42"/>
    <mergeCell ref="L38:M38"/>
    <mergeCell ref="B8:C8"/>
    <mergeCell ref="B14:C14"/>
    <mergeCell ref="B18:C18"/>
    <mergeCell ref="B29:C29"/>
    <mergeCell ref="B37:C37"/>
    <mergeCell ref="J38:K38"/>
    <mergeCell ref="J30:K30"/>
    <mergeCell ref="L30:M30"/>
    <mergeCell ref="J31:K31"/>
    <mergeCell ref="D29:E29"/>
    <mergeCell ref="F29:G29"/>
    <mergeCell ref="H29:I29"/>
    <mergeCell ref="D30:E30"/>
    <mergeCell ref="F30:G30"/>
    <mergeCell ref="H30:I30"/>
    <mergeCell ref="L27:M27"/>
    <mergeCell ref="D24:E24"/>
    <mergeCell ref="L24:M24"/>
    <mergeCell ref="D25:E25"/>
    <mergeCell ref="L25:M25"/>
    <mergeCell ref="D22:E22"/>
    <mergeCell ref="J43:K43"/>
    <mergeCell ref="L43:M43"/>
    <mergeCell ref="L44:M44"/>
    <mergeCell ref="J44:K44"/>
    <mergeCell ref="L39:M39"/>
    <mergeCell ref="H40:I40"/>
    <mergeCell ref="J40:K40"/>
    <mergeCell ref="L40:M40"/>
    <mergeCell ref="H41:I41"/>
    <mergeCell ref="J41:K41"/>
    <mergeCell ref="L41:M41"/>
    <mergeCell ref="H39:I39"/>
    <mergeCell ref="J39:K39"/>
    <mergeCell ref="H42:I42"/>
    <mergeCell ref="J42:K42"/>
    <mergeCell ref="D44:E44"/>
    <mergeCell ref="D37:E37"/>
    <mergeCell ref="F37:G37"/>
    <mergeCell ref="H37:I37"/>
    <mergeCell ref="D31:E31"/>
    <mergeCell ref="F31:G31"/>
    <mergeCell ref="H31:I31"/>
    <mergeCell ref="F32:G32"/>
    <mergeCell ref="H43:I43"/>
    <mergeCell ref="D38:E38"/>
    <mergeCell ref="F39:G39"/>
    <mergeCell ref="F40:G40"/>
    <mergeCell ref="F41:G41"/>
    <mergeCell ref="F42:G42"/>
    <mergeCell ref="H38:I38"/>
    <mergeCell ref="D43:E43"/>
    <mergeCell ref="F38:G38"/>
    <mergeCell ref="F43:G43"/>
    <mergeCell ref="F44:G44"/>
    <mergeCell ref="H44:I44"/>
    <mergeCell ref="D32:E32"/>
    <mergeCell ref="D39:E39"/>
    <mergeCell ref="D40:E40"/>
    <mergeCell ref="D41:E41"/>
    <mergeCell ref="K8:M8"/>
    <mergeCell ref="G8:J8"/>
    <mergeCell ref="D8:F8"/>
    <mergeCell ref="D9:F9"/>
    <mergeCell ref="D10:F10"/>
    <mergeCell ref="D11:F11"/>
    <mergeCell ref="D12:F12"/>
    <mergeCell ref="D13:F13"/>
    <mergeCell ref="D15:F15"/>
    <mergeCell ref="D17:F17"/>
    <mergeCell ref="G9:J9"/>
    <mergeCell ref="L22:M22"/>
    <mergeCell ref="D23:E23"/>
    <mergeCell ref="L23:M23"/>
    <mergeCell ref="I24:K24"/>
    <mergeCell ref="D21:E21"/>
    <mergeCell ref="L21:M21"/>
    <mergeCell ref="F21:H21"/>
    <mergeCell ref="I21:K21"/>
    <mergeCell ref="I23:K23"/>
    <mergeCell ref="G10:J10"/>
    <mergeCell ref="B7:M7"/>
    <mergeCell ref="G12:J12"/>
    <mergeCell ref="G13:J13"/>
    <mergeCell ref="D14:M14"/>
    <mergeCell ref="B2:M2"/>
    <mergeCell ref="G15:J15"/>
    <mergeCell ref="G16:J16"/>
    <mergeCell ref="G17:J17"/>
    <mergeCell ref="K9:M9"/>
    <mergeCell ref="K10:M10"/>
    <mergeCell ref="K11:M11"/>
    <mergeCell ref="K12:M12"/>
    <mergeCell ref="K13:M13"/>
    <mergeCell ref="K15:M15"/>
    <mergeCell ref="B3:M3"/>
    <mergeCell ref="D5:G5"/>
    <mergeCell ref="D6:G6"/>
    <mergeCell ref="I4:M4"/>
    <mergeCell ref="I5:M5"/>
    <mergeCell ref="I6:M6"/>
    <mergeCell ref="G11:J11"/>
    <mergeCell ref="K16:M16"/>
    <mergeCell ref="K17:M17"/>
    <mergeCell ref="D16:F1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Tabla 6.2 Tiempos de desarrollo</vt:lpstr>
      <vt:lpstr>Tabla 6.3 Rasgos de tamaños</vt:lpstr>
      <vt:lpstr>Tabla 6.4-6.5 Estimación tamaño</vt:lpstr>
      <vt:lpstr>Diccionario de Actividades</vt:lpstr>
      <vt:lpstr>Tabla 6.6 CRT</vt:lpstr>
      <vt:lpstr>Tabla 6.7 C_Trabajo</vt:lpstr>
      <vt:lpstr>Cuaderno de Defectos</vt:lpstr>
      <vt:lpstr>Tabla 15.1 Cálculo Defectos</vt:lpstr>
      <vt:lpstr>Tabla 15.3 Resumen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DARWIN ROBERTO VALDIVIEZO CONDOR</dc:creator>
  <cp:keywords>Calidad</cp:keywords>
  <cp:lastModifiedBy>DARWIN ROBERTO VALDIVIEZO CONDOR</cp:lastModifiedBy>
  <dcterms:created xsi:type="dcterms:W3CDTF">2025-02-17T01:00:11Z</dcterms:created>
  <dcterms:modified xsi:type="dcterms:W3CDTF">2025-02-24T02:57:24Z</dcterms:modified>
</cp:coreProperties>
</file>